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 Srivastava\Varun\Projects\SpiderBot\Presentation files\"/>
    </mc:Choice>
  </mc:AlternateContent>
  <xr:revisionPtr revIDLastSave="0" documentId="13_ncr:1_{CF2D9F48-C2EF-476E-A835-A97FFC1AD62F}" xr6:coauthVersionLast="47" xr6:coauthVersionMax="47" xr10:uidLastSave="{00000000-0000-0000-0000-000000000000}"/>
  <bookViews>
    <workbookView xWindow="-108" yWindow="-108" windowWidth="23256" windowHeight="12456" xr2:uid="{E06B190D-CA6A-4248-B460-8C67C95C459C}"/>
  </bookViews>
  <sheets>
    <sheet name="Status" sheetId="7" r:id="rId1"/>
    <sheet name="Sheet1" sheetId="8" r:id="rId2"/>
    <sheet name="Project Timeline" sheetId="1" r:id="rId3"/>
    <sheet name="LegMovement Logic" sheetId="4" r:id="rId4"/>
    <sheet name="ComponentCost-Estimated-Actual" sheetId="2" r:id="rId5"/>
    <sheet name="Final Components List" sheetId="5" r:id="rId6"/>
    <sheet name="Trials &amp; Errors" sheetId="6" r:id="rId7"/>
    <sheet name="Sheet3" sheetId="3" r:id="rId8"/>
  </sheets>
  <externalReferences>
    <externalReference r:id="rId9"/>
  </externalReferences>
  <definedNames>
    <definedName name="StatusList" localSheetId="0">[1]!Table1[Status]</definedName>
    <definedName name="StatusList">Table1[Status]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8" l="1"/>
  <c r="M11" i="2"/>
  <c r="M12" i="2"/>
  <c r="M13" i="2"/>
  <c r="M14" i="2"/>
  <c r="M16" i="2"/>
  <c r="M3" i="2"/>
  <c r="M4" i="2"/>
  <c r="M5" i="2"/>
  <c r="M6" i="2"/>
  <c r="M7" i="2"/>
  <c r="M8" i="2"/>
  <c r="M10" i="2"/>
  <c r="L30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M15" i="2" s="1"/>
  <c r="L16" i="2"/>
  <c r="H16" i="2"/>
  <c r="J16" i="2"/>
  <c r="H15" i="2"/>
  <c r="J15" i="2"/>
  <c r="H14" i="2"/>
  <c r="J14" i="2"/>
  <c r="G9" i="2"/>
  <c r="H9" i="2" s="1"/>
  <c r="H13" i="2"/>
  <c r="J13" i="2"/>
  <c r="J12" i="2"/>
  <c r="H12" i="2"/>
  <c r="H11" i="2"/>
  <c r="J11" i="2"/>
  <c r="J9" i="2"/>
  <c r="M9" i="2" s="1"/>
  <c r="H8" i="2"/>
  <c r="J8" i="2"/>
  <c r="M21" i="2"/>
  <c r="M23" i="2"/>
  <c r="M25" i="2"/>
  <c r="M27" i="2"/>
  <c r="I22" i="2"/>
  <c r="J22" i="2" s="1"/>
  <c r="M22" i="2" s="1"/>
  <c r="H22" i="2"/>
  <c r="I5" i="2"/>
  <c r="J5" i="2" s="1"/>
  <c r="D7" i="5"/>
  <c r="D2" i="5"/>
  <c r="D3" i="5"/>
  <c r="D4" i="5"/>
  <c r="D5" i="5"/>
  <c r="D6" i="5"/>
  <c r="D1" i="5"/>
  <c r="J29" i="2"/>
  <c r="M29" i="2" s="1"/>
  <c r="H29" i="2"/>
  <c r="G23" i="1"/>
  <c r="J1" i="1" s="1"/>
  <c r="J2" i="1" s="1"/>
  <c r="J24" i="2"/>
  <c r="M24" i="2" s="1"/>
  <c r="H24" i="2"/>
  <c r="J26" i="2"/>
  <c r="M26" i="2" s="1"/>
  <c r="H26" i="2"/>
  <c r="J4" i="2"/>
  <c r="J10" i="2"/>
  <c r="J28" i="2"/>
  <c r="M28" i="2" s="1"/>
  <c r="J3" i="2"/>
  <c r="J7" i="2"/>
  <c r="J6" i="2"/>
  <c r="H25" i="2"/>
  <c r="H23" i="2"/>
  <c r="H21" i="2"/>
  <c r="H4" i="2"/>
  <c r="H5" i="2"/>
  <c r="H10" i="2"/>
  <c r="H28" i="2"/>
  <c r="H27" i="2"/>
  <c r="H3" i="2"/>
  <c r="H7" i="2"/>
  <c r="H6" i="2"/>
  <c r="C23" i="1"/>
  <c r="J17" i="2" l="1"/>
  <c r="L17" i="2"/>
  <c r="H17" i="2"/>
  <c r="M17" i="2"/>
  <c r="M30" i="2"/>
  <c r="J30" i="2"/>
  <c r="H30" i="2"/>
</calcChain>
</file>

<file path=xl/sharedStrings.xml><?xml version="1.0" encoding="utf-8"?>
<sst xmlns="http://schemas.openxmlformats.org/spreadsheetml/2006/main" count="353" uniqueCount="231">
  <si>
    <t>Timeline:</t>
  </si>
  <si>
    <t>Task</t>
  </si>
  <si>
    <t>Days</t>
  </si>
  <si>
    <t>S.No</t>
  </si>
  <si>
    <t>Draft PPT</t>
  </si>
  <si>
    <t>Rough bot design (On Paper)</t>
  </si>
  <si>
    <t>Bot design (Blender)</t>
  </si>
  <si>
    <t>Components list</t>
  </si>
  <si>
    <t>Components Available</t>
  </si>
  <si>
    <t>Components Not-Available</t>
  </si>
  <si>
    <t>Logic build for ESP operation</t>
  </si>
  <si>
    <t>Mobile App Build</t>
  </si>
  <si>
    <t>Mobile App Design - Draft</t>
  </si>
  <si>
    <t>BOT Basic Physical design (One Leg)</t>
  </si>
  <si>
    <t>BOT physical final build</t>
  </si>
  <si>
    <t>BOT ESP integration</t>
  </si>
  <si>
    <t>BOT Testing</t>
  </si>
  <si>
    <t>BOT Final Demo</t>
  </si>
  <si>
    <t>Available</t>
  </si>
  <si>
    <t>Item</t>
  </si>
  <si>
    <t>Use</t>
  </si>
  <si>
    <t>MPU6050</t>
  </si>
  <si>
    <t>Stability</t>
  </si>
  <si>
    <t>150-200</t>
  </si>
  <si>
    <t>I2S Microphone Module</t>
  </si>
  <si>
    <t>Audio input</t>
  </si>
  <si>
    <t>400-450</t>
  </si>
  <si>
    <t xml:space="preserve"> 16 channel servo driver</t>
  </si>
  <si>
    <t>200-250</t>
  </si>
  <si>
    <t>Servos MG90</t>
  </si>
  <si>
    <t>Femur joint</t>
  </si>
  <si>
    <t>100-200</t>
  </si>
  <si>
    <t>PIR Motion Sensor Detector Module HC-SR501</t>
  </si>
  <si>
    <t>Motion detection</t>
  </si>
  <si>
    <t>30-55</t>
  </si>
  <si>
    <t>ESP32-CAM Development Board with OV2640 Camera Module</t>
  </si>
  <si>
    <t>Video Input</t>
  </si>
  <si>
    <t>800-900</t>
  </si>
  <si>
    <t>Lora Ra-02 433MHz Module + Antenna</t>
  </si>
  <si>
    <t>Long Range stable communication</t>
  </si>
  <si>
    <t>500-800</t>
  </si>
  <si>
    <t>Power supply</t>
  </si>
  <si>
    <t>Battery charging module</t>
  </si>
  <si>
    <t>10-20</t>
  </si>
  <si>
    <t>battery level indicator</t>
  </si>
  <si>
    <t>80-100</t>
  </si>
  <si>
    <t>GY-273 QMC5883L 3-Axis Magnetic Field Sensor</t>
  </si>
  <si>
    <t>Magnetic compass</t>
  </si>
  <si>
    <t>100-150</t>
  </si>
  <si>
    <t>No</t>
  </si>
  <si>
    <t>Servos SG90</t>
  </si>
  <si>
    <t>Coxa joint</t>
  </si>
  <si>
    <t>Yes</t>
  </si>
  <si>
    <t>90% Purchase</t>
  </si>
  <si>
    <t>Remark</t>
  </si>
  <si>
    <t>Model basic testing</t>
  </si>
  <si>
    <t>Total</t>
  </si>
  <si>
    <t>10% Available</t>
  </si>
  <si>
    <t>Status</t>
  </si>
  <si>
    <t>Target:</t>
  </si>
  <si>
    <t>Project:</t>
  </si>
  <si>
    <t>Target Date</t>
  </si>
  <si>
    <t>Start Date</t>
  </si>
  <si>
    <t>Dependency</t>
  </si>
  <si>
    <t>Not Started</t>
  </si>
  <si>
    <t>#BFBFBF</t>
  </si>
  <si>
    <t>On Hold</t>
  </si>
  <si>
    <t>#F4A460</t>
  </si>
  <si>
    <t>Postponed</t>
  </si>
  <si>
    <t>#FFC107</t>
  </si>
  <si>
    <t>In Progress</t>
  </si>
  <si>
    <t>#2196F3</t>
  </si>
  <si>
    <t>In Review</t>
  </si>
  <si>
    <t>#9C27B0</t>
  </si>
  <si>
    <t>In Testing</t>
  </si>
  <si>
    <t>#009688</t>
  </si>
  <si>
    <t>Blocked / Dependency</t>
  </si>
  <si>
    <t>#FF0000</t>
  </si>
  <si>
    <t>Completed</t>
  </si>
  <si>
    <t>#4CAF50</t>
  </si>
  <si>
    <t>Failed</t>
  </si>
  <si>
    <t>#8B0000</t>
  </si>
  <si>
    <t>Hex</t>
  </si>
  <si>
    <t>Final Documentation/ PPT</t>
  </si>
  <si>
    <t>Varun</t>
  </si>
  <si>
    <t>Varun+</t>
  </si>
  <si>
    <t>3D Printing One Leg + Base</t>
  </si>
  <si>
    <t>3D Printing Remaining Objects</t>
  </si>
  <si>
    <t>Omkar</t>
  </si>
  <si>
    <t>Medha, Nimisha, Omkar, Varun</t>
  </si>
  <si>
    <t>Medha, Nimisha, Omkar, Varun &amp; Sir</t>
  </si>
  <si>
    <t>Lab</t>
  </si>
  <si>
    <t>Contributor</t>
  </si>
  <si>
    <t>Spider-Hex</t>
  </si>
  <si>
    <t>9, 10</t>
  </si>
  <si>
    <t>4</t>
  </si>
  <si>
    <t>9</t>
  </si>
  <si>
    <t>10</t>
  </si>
  <si>
    <t>3D Printing</t>
  </si>
  <si>
    <t>12</t>
  </si>
  <si>
    <t>Visha World cost</t>
  </si>
  <si>
    <t>General Cost</t>
  </si>
  <si>
    <t>Creality Hyper PLA RFID 3D Printer Filament (0.5kg /1kg)</t>
  </si>
  <si>
    <t>Unit Cost (Approx)</t>
  </si>
  <si>
    <t>Max Unit Cost</t>
  </si>
  <si>
    <t>130-150</t>
  </si>
  <si>
    <t>OV7670 Cam</t>
  </si>
  <si>
    <t>1000-1139</t>
  </si>
  <si>
    <t>Visha World Total Cost</t>
  </si>
  <si>
    <t>Qty</t>
  </si>
  <si>
    <t>Actual Cost</t>
  </si>
  <si>
    <t>Completion Date</t>
  </si>
  <si>
    <t>Step-1</t>
  </si>
  <si>
    <t>1.2, 3.2</t>
  </si>
  <si>
    <t>1.1,3.1</t>
  </si>
  <si>
    <t>Step-2</t>
  </si>
  <si>
    <t>Step-3</t>
  </si>
  <si>
    <t>Step-4</t>
  </si>
  <si>
    <t>Step-5</t>
  </si>
  <si>
    <t>Step-6</t>
  </si>
  <si>
    <t>Step-7</t>
  </si>
  <si>
    <t>1.2,3.2</t>
  </si>
  <si>
    <t>4.2,6.2</t>
  </si>
  <si>
    <t>4.1,6.1</t>
  </si>
  <si>
    <t>1.1,2.1,3.1</t>
  </si>
  <si>
    <t>4.1,5.1,6.1</t>
  </si>
  <si>
    <t>GAIT-CYCLE</t>
  </si>
  <si>
    <t>Rotation</t>
  </si>
  <si>
    <t>TURN-LOGIC</t>
  </si>
  <si>
    <t>1.1,3.1,5.1</t>
  </si>
  <si>
    <t>2.1,4.1,6.1</t>
  </si>
  <si>
    <t>Right</t>
  </si>
  <si>
    <t>Left</t>
  </si>
  <si>
    <t>Pitch</t>
  </si>
  <si>
    <t>Down</t>
  </si>
  <si>
    <t>Up</t>
  </si>
  <si>
    <t>Rotation2</t>
  </si>
  <si>
    <t>Rotation3</t>
  </si>
  <si>
    <t>Rotation4</t>
  </si>
  <si>
    <t>Rotation5</t>
  </si>
  <si>
    <t>Rotation6</t>
  </si>
  <si>
    <t>Forward</t>
  </si>
  <si>
    <t>Back</t>
  </si>
  <si>
    <t>12-Dec: Logic reviewed
10-Dec: Logic under review
09-Dec: Behind Target</t>
  </si>
  <si>
    <t>Bot design (Fusion 360)</t>
  </si>
  <si>
    <t>Nimisha, Medha</t>
  </si>
  <si>
    <t>18650 Li-po Lithium Battery Capacity Indicator Module</t>
  </si>
  <si>
    <t>2 x 3.7V 18650 Battery Holder - 1 Pc</t>
  </si>
  <si>
    <t>TP4056 1A Li-ion lithium Battery Charging Module – Type C</t>
  </si>
  <si>
    <t>18650 2600mAh Lithium-Ion Battery - 1 Pc</t>
  </si>
  <si>
    <t>SG90 Micro Servo Motor</t>
  </si>
  <si>
    <t>PCA9685 - 16 Channel 12-Bit PWM Servo Motor Driver I2C Module</t>
  </si>
  <si>
    <t>Locking Mechanism of Tibia Rod on one side only  &amp; locking cap on the other side</t>
  </si>
  <si>
    <t>Sr. No.</t>
  </si>
  <si>
    <t>Error Remark</t>
  </si>
  <si>
    <t>Thickening of all Shafts to 5mm diameter</t>
  </si>
  <si>
    <t>Largening of all screw holes to  2mm dia and 6.5mm depth</t>
  </si>
  <si>
    <t>Broadening of knee</t>
  </si>
  <si>
    <t>Shortening of outer femur wall</t>
  </si>
  <si>
    <t>Reducing number of teeth on motor &amp; coxa gear keeping the radius constant</t>
  </si>
  <si>
    <t>Thickening of connecting shaft to 10mm outer and 5.5mm inner diameter &amp; screw holes for tightening</t>
  </si>
  <si>
    <t>Largening of Tibia Gears to 20mm dia &amp; reducing number of teeth and screw holes for tightening</t>
  </si>
  <si>
    <t>Progress</t>
  </si>
  <si>
    <t>Pending</t>
  </si>
  <si>
    <t>30 Days</t>
  </si>
  <si>
    <t>Final Submittion</t>
  </si>
  <si>
    <t>Complete %</t>
  </si>
  <si>
    <t>Estimated Cost</t>
  </si>
  <si>
    <t>Used Components</t>
  </si>
  <si>
    <t>Future Enhansment Plan (Additional Components)</t>
  </si>
  <si>
    <t>PCA9685 PWM/Servo Driver</t>
  </si>
  <si>
    <t>Li-ion Battery (3.7v 2600mAh) - 18650</t>
  </si>
  <si>
    <t>Battery charging module - TP4056 - C Type USB Prote</t>
  </si>
  <si>
    <t>Battery capacity indicator module -3s18650</t>
  </si>
  <si>
    <t>Battery Holder</t>
  </si>
  <si>
    <t>20-30</t>
  </si>
  <si>
    <t>Buck Converter</t>
  </si>
  <si>
    <t>Voltage drop from 7.4v to 5v</t>
  </si>
  <si>
    <t>Acrylic Sheet</t>
  </si>
  <si>
    <t>Bot base body</t>
  </si>
  <si>
    <t>39-100</t>
  </si>
  <si>
    <t>On-Off Switch</t>
  </si>
  <si>
    <t>Wires (Male / Female connectors)</t>
  </si>
  <si>
    <t>Misc (Sholdering Wire, Paste, Wick etc)</t>
  </si>
  <si>
    <t>Misc components</t>
  </si>
  <si>
    <t>200-300</t>
  </si>
  <si>
    <t>Connection Buck, ESP32, Servo</t>
  </si>
  <si>
    <t>Battery, Buck, etc</t>
  </si>
  <si>
    <t>Estimated Total Cost</t>
  </si>
  <si>
    <t>Actual Cost (with 18% GST)</t>
  </si>
  <si>
    <t>Unit Cost (College provided )</t>
  </si>
  <si>
    <t>College provided Components</t>
  </si>
  <si>
    <t>College provided</t>
  </si>
  <si>
    <t>Unit cost (Purchased)</t>
  </si>
  <si>
    <t>Purchased Cost</t>
  </si>
  <si>
    <t>College Provided Cost</t>
  </si>
  <si>
    <t>Purchased</t>
  </si>
  <si>
    <t>Unit Cost</t>
  </si>
  <si>
    <t>15-20</t>
  </si>
  <si>
    <t>25-Dec: 3D Printing, App Integration Pending.</t>
  </si>
  <si>
    <t>25-Dec: 3D Printing (Gear re-print for testing)
23-Dec: Gear needs to re-design</t>
  </si>
  <si>
    <t>25-Dec: (a) Project Current Status
(b) Estimated vs Actual Cost 
(c) Purchase vs Existing 
(d) SpiderHex - Task Status 
(e) Components List</t>
  </si>
  <si>
    <t>25-Dec: Gear re-design in progress as 2nd 3D Printing not appropriate</t>
  </si>
  <si>
    <t>Omkar, Varun</t>
  </si>
  <si>
    <t>25-Dec: Base ready, 3D printing and App build in progress</t>
  </si>
  <si>
    <t>25-Dec: (a) Body base structure done. 
(b) Gear re-design and 3D Printing in progress</t>
  </si>
  <si>
    <t>25-Dec: Resolving Trial and errors
18-Dec: Identified Trial and errors
18-Dec: 3D printing for one Leg done</t>
  </si>
  <si>
    <t>On AC -&gt; DC 5v adapter working fine, howerver on battery, motors are drawing more voltage, due to that battery is draining fast.</t>
  </si>
  <si>
    <t>Done</t>
  </si>
  <si>
    <t>Partial</t>
  </si>
  <si>
    <t>Reduce diameter</t>
  </si>
  <si>
    <t>Largening of all hole diameter by 0.75 to the shaft diameter (total holes: 7)</t>
  </si>
  <si>
    <t>Coxa motor gear cork hole increase by .5 mm diameter &amp; screw hole</t>
  </si>
  <si>
    <t>Motor Gear Crater to fix Femur motor</t>
  </si>
  <si>
    <t>Printing failded, need to re-print</t>
  </si>
  <si>
    <t xml:space="preserve">3D Printing pending </t>
  </si>
  <si>
    <t>3D printing error</t>
  </si>
  <si>
    <t>26-Dec: Varun created new Mobile App (Working fine all functions)
25-Dec: App not functioning, Varun started building new App</t>
  </si>
  <si>
    <t>26-Dec: New Mobile App created by Varun, connectivity established between Mobile and ESP32. All functions working as expected (Forward, Back, Turn Left, Turn Right, Reset) 
25-Dec: Connectivity and ESP logics fine over Laptop BT. Mobile App integration not working.
25-Dec: Back, Turn Left, Turn Right logic created by Nimisha. Logic working as expected and uploaded in ESP32.</t>
  </si>
  <si>
    <t>26-Dec: Gear re-design pending
18-Dec: Final assembly remaining
16-Dec: CAD model failed
13-Dec: Behind Target
12-Dec: Behind Target
11-Dec: Behind Target
10- Dec: Behind target</t>
  </si>
  <si>
    <t>Body</t>
  </si>
  <si>
    <t>Component</t>
  </si>
  <si>
    <t>Weight (g)</t>
  </si>
  <si>
    <t>ESP32</t>
  </si>
  <si>
    <t>PCA9685</t>
  </si>
  <si>
    <t>HC-SR04</t>
  </si>
  <si>
    <t>2s 18650</t>
  </si>
  <si>
    <t>Misc</t>
  </si>
  <si>
    <t>SG90 (x8)</t>
  </si>
  <si>
    <t>MG90s (x4)</t>
  </si>
  <si>
    <t>Bearing (x8)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</si>
</sst>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theme="1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3" xfId="0" applyBorder="1"/>
    <xf numFmtId="9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15" fontId="1" fillId="3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5" fontId="0" fillId="0" borderId="1" xfId="0" quotePrefix="1" applyNumberFormat="1" applyBorder="1"/>
    <xf numFmtId="0" fontId="0" fillId="4" borderId="1" xfId="0" applyFill="1" applyBorder="1"/>
    <xf numFmtId="0" fontId="1" fillId="3" borderId="1" xfId="0" applyFont="1" applyFill="1" applyBorder="1"/>
    <xf numFmtId="0" fontId="0" fillId="0" borderId="1" xfId="0" quotePrefix="1" applyBorder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right"/>
    </xf>
    <xf numFmtId="17" fontId="0" fillId="0" borderId="1" xfId="0" quotePrefix="1" applyNumberFormat="1" applyBorder="1" applyAlignment="1">
      <alignment horizontal="right"/>
    </xf>
    <xf numFmtId="9" fontId="0" fillId="0" borderId="1" xfId="0" applyNumberFormat="1" applyBorder="1"/>
    <xf numFmtId="0" fontId="0" fillId="0" borderId="2" xfId="0" applyBorder="1" applyAlignment="1">
      <alignment vertical="top"/>
    </xf>
    <xf numFmtId="0" fontId="0" fillId="0" borderId="1" xfId="0" applyBorder="1" applyAlignment="1">
      <alignment vertical="top"/>
    </xf>
    <xf numFmtId="1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/>
    </xf>
    <xf numFmtId="9" fontId="1" fillId="2" borderId="1" xfId="0" applyNumberFormat="1" applyFont="1" applyFill="1" applyBorder="1"/>
    <xf numFmtId="0" fontId="0" fillId="0" borderId="0" xfId="0" applyAlignment="1">
      <alignment horizontal="left"/>
    </xf>
    <xf numFmtId="0" fontId="2" fillId="0" borderId="0" xfId="0" applyFont="1"/>
    <xf numFmtId="0" fontId="0" fillId="0" borderId="10" xfId="0" applyBorder="1"/>
    <xf numFmtId="9" fontId="4" fillId="7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right"/>
    </xf>
    <xf numFmtId="164" fontId="0" fillId="0" borderId="1" xfId="0" applyNumberFormat="1" applyBorder="1" applyAlignment="1">
      <alignment horizontal="center" vertical="top" wrapText="1"/>
    </xf>
    <xf numFmtId="164" fontId="0" fillId="0" borderId="1" xfId="0" applyNumberFormat="1" applyBorder="1"/>
    <xf numFmtId="164" fontId="0" fillId="6" borderId="8" xfId="0" applyNumberFormat="1" applyFill="1" applyBorder="1"/>
    <xf numFmtId="164" fontId="0" fillId="6" borderId="1" xfId="0" applyNumberFormat="1" applyFill="1" applyBorder="1"/>
    <xf numFmtId="164" fontId="1" fillId="3" borderId="1" xfId="0" applyNumberFormat="1" applyFont="1" applyFill="1" applyBorder="1"/>
    <xf numFmtId="164" fontId="0" fillId="0" borderId="8" xfId="0" applyNumberFormat="1" applyBorder="1"/>
    <xf numFmtId="164" fontId="0" fillId="0" borderId="0" xfId="0" applyNumberFormat="1"/>
    <xf numFmtId="164" fontId="0" fillId="0" borderId="3" xfId="0" applyNumberFormat="1" applyBorder="1"/>
    <xf numFmtId="164" fontId="0" fillId="0" borderId="9" xfId="0" applyNumberFormat="1" applyBorder="1"/>
    <xf numFmtId="164" fontId="1" fillId="5" borderId="3" xfId="0" applyNumberFormat="1" applyFont="1" applyFill="1" applyBorder="1" applyAlignment="1">
      <alignment horizontal="center" vertical="top" wrapText="1"/>
    </xf>
    <xf numFmtId="0" fontId="2" fillId="10" borderId="11" xfId="0" applyFont="1" applyFill="1" applyBorder="1"/>
    <xf numFmtId="0" fontId="2" fillId="8" borderId="11" xfId="0" applyFont="1" applyFill="1" applyBorder="1"/>
    <xf numFmtId="0" fontId="2" fillId="9" borderId="11" xfId="0" applyFont="1" applyFill="1" applyBorder="1"/>
    <xf numFmtId="0" fontId="2" fillId="11" borderId="11" xfId="0" applyFont="1" applyFill="1" applyBorder="1"/>
    <xf numFmtId="0" fontId="0" fillId="11" borderId="0" xfId="0" applyFill="1"/>
    <xf numFmtId="0" fontId="2" fillId="12" borderId="11" xfId="0" applyFont="1" applyFill="1" applyBorder="1"/>
    <xf numFmtId="0" fontId="0" fillId="12" borderId="0" xfId="0" applyFill="1"/>
    <xf numFmtId="0" fontId="0" fillId="0" borderId="3" xfId="0" applyBorder="1" applyAlignment="1">
      <alignment wrapText="1"/>
    </xf>
    <xf numFmtId="0" fontId="2" fillId="13" borderId="11" xfId="0" applyFont="1" applyFill="1" applyBorder="1" applyAlignment="1">
      <alignment horizontal="left"/>
    </xf>
  </cellXfs>
  <cellStyles count="1">
    <cellStyle name="Normal" xfId="0" builtinId="0"/>
  </cellStyles>
  <dxfs count="63">
    <dxf>
      <fill>
        <patternFill>
          <bgColor rgb="FFBFBFBF"/>
        </patternFill>
      </fill>
    </dxf>
    <dxf>
      <fill>
        <patternFill>
          <bgColor rgb="FFF4A460"/>
        </patternFill>
      </fill>
    </dxf>
    <dxf>
      <fill>
        <patternFill>
          <bgColor rgb="FFFFC107"/>
        </patternFill>
      </fill>
    </dxf>
    <dxf>
      <fill>
        <patternFill>
          <bgColor rgb="FF2196F3"/>
        </patternFill>
      </fill>
    </dxf>
    <dxf>
      <fill>
        <patternFill>
          <bgColor rgb="FF9C27B0"/>
        </patternFill>
      </fill>
    </dxf>
    <dxf>
      <fill>
        <patternFill>
          <bgColor rgb="FF009688"/>
        </patternFill>
      </fill>
    </dxf>
    <dxf>
      <fill>
        <patternFill>
          <bgColor rgb="FFFF0000"/>
        </patternFill>
      </fill>
    </dxf>
    <dxf>
      <fill>
        <patternFill>
          <bgColor rgb="FF4CAF50"/>
        </patternFill>
      </fill>
    </dxf>
    <dxf>
      <fill>
        <patternFill>
          <bgColor rgb="FF8B0000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[$₹-4009]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₹-4009]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₹-4009]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₹-4009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₹-4009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₹-4009]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₹-4009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₹-4009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₹-4009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107"/>
      <color rgb="FFBFBFBF"/>
      <color rgb="FF2196F3"/>
      <color rgb="FF4CAF50"/>
      <color rgb="FF9C27B0"/>
      <color rgb="FF8B0000"/>
      <color rgb="FFFF0000"/>
      <color rgb="FF009688"/>
      <color rgb="FFF4A4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Project: SpiderHex - Task Status</a:t>
            </a:r>
          </a:p>
        </c:rich>
      </c:tx>
      <c:layout>
        <c:manualLayout>
          <c:xMode val="edge"/>
          <c:yMode val="edge"/>
          <c:x val="0.27407003547068243"/>
          <c:y val="2.2859211683757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Timeline'!$B$4:$B$22</c:f>
              <c:strCache>
                <c:ptCount val="19"/>
                <c:pt idx="0">
                  <c:v>Rough bot design (On Paper)</c:v>
                </c:pt>
                <c:pt idx="1">
                  <c:v>Draft PPT</c:v>
                </c:pt>
                <c:pt idx="2">
                  <c:v>Bot design (Blender)</c:v>
                </c:pt>
                <c:pt idx="3">
                  <c:v>Bot design (Fusion 360)</c:v>
                </c:pt>
                <c:pt idx="4">
                  <c:v>Components list</c:v>
                </c:pt>
                <c:pt idx="5">
                  <c:v>Components Available</c:v>
                </c:pt>
                <c:pt idx="6">
                  <c:v>Logic build for ESP operation</c:v>
                </c:pt>
                <c:pt idx="7">
                  <c:v>Components Not-Available</c:v>
                </c:pt>
                <c:pt idx="8">
                  <c:v>3D Printing One Leg + Base</c:v>
                </c:pt>
                <c:pt idx="9">
                  <c:v>BOT Basic Physical design (One Leg)</c:v>
                </c:pt>
                <c:pt idx="10">
                  <c:v>3D Printing Remaining Objects</c:v>
                </c:pt>
                <c:pt idx="11">
                  <c:v>Mobile App Design - Draft</c:v>
                </c:pt>
                <c:pt idx="12">
                  <c:v>Mobile App Build</c:v>
                </c:pt>
                <c:pt idx="13">
                  <c:v>Model basic testing</c:v>
                </c:pt>
                <c:pt idx="14">
                  <c:v>BOT physical final build</c:v>
                </c:pt>
                <c:pt idx="15">
                  <c:v>BOT ESP integration</c:v>
                </c:pt>
                <c:pt idx="16">
                  <c:v>BOT Testing</c:v>
                </c:pt>
                <c:pt idx="17">
                  <c:v>Final Documentation/ PPT</c:v>
                </c:pt>
                <c:pt idx="18">
                  <c:v>BOT Final Demo</c:v>
                </c:pt>
              </c:strCache>
            </c:strRef>
          </c:cat>
          <c:val>
            <c:numRef>
              <c:f>'Project Timeline'!$G$4:$G$22</c:f>
              <c:numCache>
                <c:formatCode>0%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</c:v>
                </c:pt>
                <c:pt idx="9">
                  <c:v>0.8</c:v>
                </c:pt>
                <c:pt idx="10">
                  <c:v>0.1</c:v>
                </c:pt>
                <c:pt idx="11">
                  <c:v>1</c:v>
                </c:pt>
                <c:pt idx="12">
                  <c:v>1</c:v>
                </c:pt>
                <c:pt idx="13">
                  <c:v>0.4</c:v>
                </c:pt>
                <c:pt idx="14">
                  <c:v>0.2</c:v>
                </c:pt>
                <c:pt idx="15">
                  <c:v>1</c:v>
                </c:pt>
                <c:pt idx="16">
                  <c:v>0.2</c:v>
                </c:pt>
                <c:pt idx="17">
                  <c:v>0.3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E-4D1D-BD88-684947EE6E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092673823"/>
        <c:axId val="1092672383"/>
        <c:axId val="0"/>
      </c:bar3DChart>
      <c:catAx>
        <c:axId val="109267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72383"/>
        <c:crosses val="autoZero"/>
        <c:auto val="1"/>
        <c:lblAlgn val="ctr"/>
        <c:lblOffset val="100"/>
        <c:noMultiLvlLbl val="0"/>
      </c:catAx>
      <c:valAx>
        <c:axId val="109267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7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49000">
          <a:srgbClr val="D2D2D2"/>
        </a:gs>
        <a:gs pos="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Current Status</a:t>
            </a:r>
            <a:endParaRPr lang="en-US" sz="14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60717542248918932"/>
          <c:y val="3.41309387989689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518411901849291E-2"/>
          <c:y val="0.33531251000520856"/>
          <c:w val="0.82370487079872567"/>
          <c:h val="0.6616182868277110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FE4-40C5-9E18-DD9AF38305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044-484D-B849-333100853DB1}"/>
              </c:ext>
            </c:extLst>
          </c:dPt>
          <c:dLbls>
            <c:dLbl>
              <c:idx val="0"/>
              <c:spPr>
                <a:solidFill>
                  <a:srgbClr val="92D050">
                    <a:alpha val="30000"/>
                  </a:srgbClr>
                </a:solidFill>
                <a:ln>
                  <a:gradFill>
                    <a:gsLst>
                      <a:gs pos="0">
                        <a:srgbClr val="92D050"/>
                      </a:gs>
                      <a:gs pos="100000">
                        <a:sysClr val="window" lastClr="FFFFFF"/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DFE4-40C5-9E18-DD9AF38305C3}"/>
                </c:ext>
              </c:extLst>
            </c:dLbl>
            <c:dLbl>
              <c:idx val="1"/>
              <c:spPr>
                <a:solidFill>
                  <a:srgbClr val="FFC107">
                    <a:alpha val="30000"/>
                  </a:srgbClr>
                </a:solidFill>
                <a:ln>
                  <a:gradFill>
                    <a:gsLst>
                      <a:gs pos="3000">
                        <a:srgbClr val="FFC000"/>
                      </a:gs>
                      <a:gs pos="100000">
                        <a:sysClr val="window" lastClr="FFFFFF"/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7044-484D-B849-333100853DB1}"/>
                </c:ext>
              </c:extLst>
            </c:dLbl>
            <c:spPr>
              <a:solidFill>
                <a:srgbClr val="92D050">
                  <a:alpha val="30000"/>
                </a:srgbClr>
              </a:solidFill>
              <a:ln>
                <a:solidFill>
                  <a:sysClr val="window" lastClr="FFFFFF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'Project Timeline'!$I$1:$I$2</c:f>
              <c:strCache>
                <c:ptCount val="2"/>
                <c:pt idx="0">
                  <c:v>Progress</c:v>
                </c:pt>
                <c:pt idx="1">
                  <c:v>Pending</c:v>
                </c:pt>
              </c:strCache>
            </c:strRef>
          </c:cat>
          <c:val>
            <c:numRef>
              <c:f>'Project Timeline'!$J$1:$J$2</c:f>
              <c:numCache>
                <c:formatCode>0%</c:formatCode>
                <c:ptCount val="2"/>
                <c:pt idx="0">
                  <c:v>0.7310526315789474</c:v>
                </c:pt>
                <c:pt idx="1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44-484D-B849-333100853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8968663748011529"/>
          <c:y val="0.18128344668014487"/>
          <c:w val="0.35197197816752235"/>
          <c:h val="8.36782934023019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1">
            <a:lumMod val="85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  <a:tileRect/>
    </a:gradFill>
    <a:ln>
      <a:gradFill>
        <a:gsLst>
          <a:gs pos="0">
            <a:schemeClr val="bg1">
              <a:lumMod val="8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 prstMaterial="dkEdge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Estimated vs Actual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all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'ComponentCost-Estimated-Actual'!$H$2</c:f>
              <c:strCache>
                <c:ptCount val="1"/>
                <c:pt idx="0">
                  <c:v>Estimated Cost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8.8343549747012251E-2"/>
                  <c:y val="-7.4585638603803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B6-4A71-BFE6-A180993AAAD5}"/>
                </c:ext>
              </c:extLst>
            </c:dLbl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0"/>
              </c:ext>
            </c:extLst>
          </c:dLbls>
          <c:val>
            <c:numRef>
              <c:f>'ComponentCost-Estimated-Actual'!$H$17</c:f>
              <c:numCache>
                <c:formatCode>[$₹-4009]\ #,##0.00</c:formatCode>
                <c:ptCount val="1"/>
                <c:pt idx="0">
                  <c:v>4786.5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6-4A71-BFE6-A180993AAAD5}"/>
            </c:ext>
          </c:extLst>
        </c:ser>
        <c:ser>
          <c:idx val="1"/>
          <c:order val="1"/>
          <c:tx>
            <c:strRef>
              <c:f>'ComponentCost-Estimated-Actual'!$M$2</c:f>
              <c:strCache>
                <c:ptCount val="1"/>
                <c:pt idx="0">
                  <c:v>Actual Cost (with 18% GST)</c:v>
                </c:pt>
              </c:strCache>
            </c:strRef>
          </c:tx>
          <c:spPr>
            <a:solidFill>
              <a:srgbClr val="92D050">
                <a:alpha val="88000"/>
              </a:srgb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92D050">
                  <a:alpha val="88000"/>
                </a:srgb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CB6-4A71-BFE6-A180993AAAD5}"/>
              </c:ext>
            </c:extLst>
          </c:dPt>
          <c:dLbls>
            <c:dLbl>
              <c:idx val="0"/>
              <c:layout>
                <c:manualLayout>
                  <c:x val="0.25030672428320144"/>
                  <c:y val="-6.46408867899633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B6-4A71-BFE6-A180993AAAD5}"/>
                </c:ext>
              </c:extLst>
            </c:dLbl>
            <c:spPr>
              <a:solidFill>
                <a:srgbClr val="92D050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0"/>
              </c:ext>
            </c:extLst>
          </c:dLbls>
          <c:val>
            <c:numRef>
              <c:f>'ComponentCost-Estimated-Actual'!$M$17</c:f>
              <c:numCache>
                <c:formatCode>[$₹-4009]\ #,##0.00</c:formatCode>
                <c:ptCount val="1"/>
                <c:pt idx="0">
                  <c:v>3666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6-4A71-BFE6-A180993AAA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24186463"/>
        <c:axId val="12620367"/>
        <c:axId val="0"/>
      </c:bar3DChart>
      <c:catAx>
        <c:axId val="2024186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367"/>
        <c:crosses val="autoZero"/>
        <c:auto val="1"/>
        <c:lblAlgn val="ctr"/>
        <c:lblOffset val="100"/>
        <c:noMultiLvlLbl val="0"/>
      </c:catAx>
      <c:valAx>
        <c:axId val="12620367"/>
        <c:scaling>
          <c:orientation val="minMax"/>
        </c:scaling>
        <c:delete val="1"/>
        <c:axPos val="l"/>
        <c:numFmt formatCode="[$₹-4009]\ #,##0.00" sourceLinked="1"/>
        <c:majorTickMark val="out"/>
        <c:minorTickMark val="none"/>
        <c:tickLblPos val="nextTo"/>
        <c:crossAx val="202418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  <a:tileRect/>
    </a:gradFill>
    <a:ln w="6350" cap="flat" cmpd="sng" algn="ctr">
      <a:solidFill>
        <a:schemeClr val="dk1">
          <a:tint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Purchased vs Existing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1"/>
          <c:tx>
            <c:strRef>
              <c:f>'ComponentCost-Estimated-Actual'!$J$2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0.15000000000000002"/>
                  <c:y val="-0.103561634899222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5C-44F8-B8BE-3D9DBB3AB4EB}"/>
                </c:ext>
              </c:extLst>
            </c:dLbl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0"/>
              </c:ext>
            </c:extLst>
          </c:dLbls>
          <c:val>
            <c:numRef>
              <c:f>'ComponentCost-Estimated-Actual'!$J$17</c:f>
              <c:numCache>
                <c:formatCode>[$₹-4009]\ #,##0.00</c:formatCode>
                <c:ptCount val="1"/>
                <c:pt idx="0">
                  <c:v>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C-44F8-B8BE-3D9DBB3AB4EB}"/>
            </c:ext>
          </c:extLst>
        </c:ser>
        <c:ser>
          <c:idx val="2"/>
          <c:order val="2"/>
          <c:tx>
            <c:strRef>
              <c:f>'ComponentCost-Estimated-Actual'!$L$2</c:f>
              <c:strCache>
                <c:ptCount val="1"/>
                <c:pt idx="0">
                  <c:v>College provided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0.2"/>
                  <c:y val="-0.138082179865630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5C-44F8-B8BE-3D9DBB3AB4EB}"/>
                </c:ext>
              </c:extLst>
            </c:dLbl>
            <c:spPr>
              <a:solidFill>
                <a:srgbClr val="92D050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0"/>
              </c:ext>
            </c:extLst>
          </c:dLbls>
          <c:val>
            <c:numRef>
              <c:f>'ComponentCost-Estimated-Actual'!$L$17</c:f>
              <c:numCache>
                <c:formatCode>[$₹-4009]\ #,##0.00</c:formatCode>
                <c:ptCount val="1"/>
                <c:pt idx="0">
                  <c:v>2089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5C-44F8-B8BE-3D9DBB3AB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51651759"/>
        <c:axId val="51653199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'ComponentCost-Estimated-Actual'!$H$2</c15:sqref>
                        </c15:formulaRef>
                      </c:ext>
                    </c:extLst>
                    <c:strCache>
                      <c:ptCount val="1"/>
                      <c:pt idx="0">
                        <c:v>Estimated Cost</c:v>
                      </c:pt>
                    </c:strCache>
                  </c:strRef>
                </c:tx>
                <c:spPr>
                  <a:solidFill>
                    <a:schemeClr val="accent1">
                      <a:alpha val="88000"/>
                    </a:schemeClr>
                  </a:solidFill>
                  <a:ln>
                    <a:solidFill>
                      <a:schemeClr val="accent1">
                        <a:lumMod val="50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flat">
                    <a:contourClr>
                      <a:schemeClr val="accent1">
                        <a:lumMod val="50000"/>
                      </a:schemeClr>
                    </a:contourClr>
                  </a:sp3d>
                </c:spPr>
                <c:invertIfNegative val="0"/>
                <c:dLbls>
                  <c:spPr>
                    <a:solidFill>
                      <a:schemeClr val="accent1">
                        <a:alpha val="30000"/>
                      </a:schemeClr>
                    </a:solidFill>
                    <a:ln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>
                      <a:outerShdw blurRad="63500" dist="889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solidFill>
                          <a:schemeClr val="accent1">
                            <a:alpha val="30000"/>
                          </a:schemeClr>
                        </a:solidFill>
                        <a:ln>
                          <a:solidFill>
                            <a:schemeClr val="lt1">
                              <a:alpha val="50000"/>
                            </a:schemeClr>
                          </a:solidFill>
                          <a:round/>
                        </a:ln>
                      </c15:spPr>
                      <c15:showLeaderLines val="0"/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'ComponentCost-Estimated-Actual'!$H$17</c15:sqref>
                        </c15:formulaRef>
                      </c:ext>
                    </c:extLst>
                    <c:numCache>
                      <c:formatCode>[$₹-4009]\ #,##0.00</c:formatCode>
                      <c:ptCount val="1"/>
                      <c:pt idx="0">
                        <c:v>4786.5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45C-44F8-B8BE-3D9DBB3AB4E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'ComponentCost-Estimated-Actual'!$M$2</c15:sqref>
                        </c15:formulaRef>
                      </c:ext>
                    </c:extLst>
                    <c:strCache>
                      <c:ptCount val="1"/>
                      <c:pt idx="0">
                        <c:v>Actual Cost (with 18% GST)</c:v>
                      </c:pt>
                    </c:strCache>
                  </c:strRef>
                </c:tx>
                <c:spPr>
                  <a:solidFill>
                    <a:schemeClr val="accent4">
                      <a:alpha val="88000"/>
                    </a:schemeClr>
                  </a:solidFill>
                  <a:ln>
                    <a:solidFill>
                      <a:schemeClr val="accent4">
                        <a:lumMod val="50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flat">
                    <a:contourClr>
                      <a:schemeClr val="accent4">
                        <a:lumMod val="50000"/>
                      </a:schemeClr>
                    </a:contourClr>
                  </a:sp3d>
                </c:spPr>
                <c:invertIfNegative val="0"/>
                <c:dLbls>
                  <c:spPr>
                    <a:solidFill>
                      <a:schemeClr val="accent4">
                        <a:alpha val="30000"/>
                      </a:schemeClr>
                    </a:solidFill>
                    <a:ln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>
                      <a:outerShdw blurRad="63500" dist="889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solidFill>
                          <a:schemeClr val="accent1">
                            <a:alpha val="30000"/>
                          </a:schemeClr>
                        </a:solidFill>
                        <a:ln>
                          <a:solidFill>
                            <a:schemeClr val="lt1">
                              <a:alpha val="50000"/>
                            </a:schemeClr>
                          </a:solidFill>
                          <a:round/>
                        </a:ln>
                      </c15:spPr>
                      <c15:showLeaderLines val="0"/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'ComponentCost-Estimated-Actual'!$M$17</c15:sqref>
                        </c15:formulaRef>
                      </c:ext>
                    </c:extLst>
                    <c:numCache>
                      <c:formatCode>[$₹-4009]\ #,##0.00</c:formatCode>
                      <c:ptCount val="1"/>
                      <c:pt idx="0">
                        <c:v>3666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5C-44F8-B8BE-3D9DBB3AB4EB}"/>
                  </c:ext>
                </c:extLst>
              </c15:ser>
            </c15:filteredBarSeries>
          </c:ext>
        </c:extLst>
      </c:bar3DChart>
      <c:catAx>
        <c:axId val="51651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3199"/>
        <c:crosses val="autoZero"/>
        <c:auto val="1"/>
        <c:lblAlgn val="ctr"/>
        <c:lblOffset val="100"/>
        <c:noMultiLvlLbl val="0"/>
      </c:catAx>
      <c:valAx>
        <c:axId val="51653199"/>
        <c:scaling>
          <c:orientation val="minMax"/>
        </c:scaling>
        <c:delete val="1"/>
        <c:axPos val="l"/>
        <c:numFmt formatCode="[$₹-4009]\ #,##0.00" sourceLinked="1"/>
        <c:majorTickMark val="out"/>
        <c:minorTickMark val="none"/>
        <c:tickLblPos val="nextTo"/>
        <c:crossAx val="5165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  <a:tileRect/>
    </a:gradFill>
    <a:ln w="6350" cap="flat" cmpd="sng" algn="ctr">
      <a:solidFill>
        <a:schemeClr val="dk1">
          <a:tint val="75000"/>
        </a:schemeClr>
      </a:solidFill>
      <a:round/>
    </a:ln>
    <a:effectLst>
      <a:outerShdw blurRad="50800" dist="50800" dir="5400000" algn="ctr" rotWithShape="0">
        <a:srgbClr val="BFBFBF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</xdr:colOff>
      <xdr:row>15</xdr:row>
      <xdr:rowOff>21166</xdr:rowOff>
    </xdr:from>
    <xdr:to>
      <xdr:col>17</xdr:col>
      <xdr:colOff>395111</xdr:colOff>
      <xdr:row>36</xdr:row>
      <xdr:rowOff>57856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69F65-A8F3-4E16-AFF3-705C1F9B8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70555</xdr:colOff>
      <xdr:row>0</xdr:row>
      <xdr:rowOff>77612</xdr:rowOff>
    </xdr:from>
    <xdr:to>
      <xdr:col>5</xdr:col>
      <xdr:colOff>511386</xdr:colOff>
      <xdr:row>14</xdr:row>
      <xdr:rowOff>70556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4FD50A-75CA-4F9F-9A3E-B3F5ABFF1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84668</xdr:colOff>
      <xdr:row>0</xdr:row>
      <xdr:rowOff>84668</xdr:rowOff>
    </xdr:from>
    <xdr:to>
      <xdr:col>3</xdr:col>
      <xdr:colOff>169335</xdr:colOff>
      <xdr:row>5</xdr:row>
      <xdr:rowOff>7056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195FF5E-843F-4852-8C34-FC7A6DB0774D}"/>
            </a:ext>
          </a:extLst>
        </xdr:cNvPr>
        <xdr:cNvSpPr/>
      </xdr:nvSpPr>
      <xdr:spPr>
        <a:xfrm>
          <a:off x="84668" y="84668"/>
          <a:ext cx="1905000" cy="839610"/>
        </a:xfrm>
        <a:prstGeom prst="rect">
          <a:avLst/>
        </a:prstGeom>
        <a:gradFill>
          <a:gsLst>
            <a:gs pos="0">
              <a:schemeClr val="tx1">
                <a:lumMod val="65000"/>
                <a:lumOff val="35000"/>
              </a:schemeClr>
            </a:gs>
            <a:gs pos="100000">
              <a:schemeClr val="tx1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Project Name : SpiderHex Bot</a:t>
          </a:r>
        </a:p>
        <a:p>
          <a:pPr algn="l"/>
          <a:r>
            <a:rPr lang="en-US" sz="900" kern="1200"/>
            <a:t>Project Start : 01-DEC-2025</a:t>
          </a:r>
        </a:p>
        <a:p>
          <a:pPr algn="l"/>
          <a:r>
            <a:rPr lang="en-US" sz="900" kern="1200"/>
            <a:t>Project End</a:t>
          </a:r>
          <a:r>
            <a:rPr lang="en-US" sz="900" kern="1200" baseline="0"/>
            <a:t> </a:t>
          </a:r>
          <a:r>
            <a:rPr lang="en-US" sz="900" kern="1200"/>
            <a:t>: 31-DEC-2025</a:t>
          </a:r>
        </a:p>
        <a:p>
          <a:pPr algn="l"/>
          <a:r>
            <a:rPr lang="en-US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Final</a:t>
          </a: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Submission : 05-JAN-2026</a:t>
          </a:r>
        </a:p>
        <a:p>
          <a:pPr algn="l"/>
          <a:r>
            <a:rPr lang="en-US" sz="900" kern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Demo : 06-JAN-2026</a:t>
          </a:r>
          <a:endParaRPr lang="en-US" sz="900" kern="1200"/>
        </a:p>
      </xdr:txBody>
    </xdr:sp>
    <xdr:clientData/>
  </xdr:twoCellAnchor>
  <xdr:twoCellAnchor>
    <xdr:from>
      <xdr:col>6</xdr:col>
      <xdr:colOff>28221</xdr:colOff>
      <xdr:row>0</xdr:row>
      <xdr:rowOff>91721</xdr:rowOff>
    </xdr:from>
    <xdr:to>
      <xdr:col>11</xdr:col>
      <xdr:colOff>469052</xdr:colOff>
      <xdr:row>14</xdr:row>
      <xdr:rowOff>83819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6DD481-9956-4F14-8FD8-1544DF70E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557389</xdr:colOff>
      <xdr:row>0</xdr:row>
      <xdr:rowOff>98778</xdr:rowOff>
    </xdr:from>
    <xdr:to>
      <xdr:col>17</xdr:col>
      <xdr:colOff>391443</xdr:colOff>
      <xdr:row>14</xdr:row>
      <xdr:rowOff>90876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5DC7B8-B111-46AD-AB24-1F45E1441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415584</xdr:colOff>
      <xdr:row>2</xdr:row>
      <xdr:rowOff>5862</xdr:rowOff>
    </xdr:from>
    <xdr:to>
      <xdr:col>3</xdr:col>
      <xdr:colOff>1</xdr:colOff>
      <xdr:row>2</xdr:row>
      <xdr:rowOff>151228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72D2641-318D-E30D-98CA-8FD9E5744125}"/>
            </a:ext>
          </a:extLst>
        </xdr:cNvPr>
        <xdr:cNvCxnSpPr/>
      </xdr:nvCxnSpPr>
      <xdr:spPr>
        <a:xfrm flipV="1">
          <a:off x="2455399" y="369277"/>
          <a:ext cx="194017" cy="1453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0</xdr:rowOff>
    </xdr:from>
    <xdr:to>
      <xdr:col>4</xdr:col>
      <xdr:colOff>106680</xdr:colOff>
      <xdr:row>9</xdr:row>
      <xdr:rowOff>166467</xdr:rowOff>
    </xdr:to>
    <xdr:sp macro="" textlink="">
      <xdr:nvSpPr>
        <xdr:cNvPr id="73" name="Arrow: Curved Up 72">
          <a:extLst>
            <a:ext uri="{FF2B5EF4-FFF2-40B4-BE49-F238E27FC236}">
              <a16:creationId xmlns:a16="http://schemas.microsoft.com/office/drawing/2014/main" id="{B2E4E2A6-28C0-46E5-A744-C977EB12A9FE}"/>
            </a:ext>
          </a:extLst>
        </xdr:cNvPr>
        <xdr:cNvSpPr/>
      </xdr:nvSpPr>
      <xdr:spPr>
        <a:xfrm rot="16200000" flipH="1">
          <a:off x="3229121" y="1665263"/>
          <a:ext cx="166467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114300</xdr:colOff>
      <xdr:row>8</xdr:row>
      <xdr:rowOff>167640</xdr:rowOff>
    </xdr:to>
    <xdr:sp macro="" textlink="">
      <xdr:nvSpPr>
        <xdr:cNvPr id="76" name="Arrow: Curved Up 75">
          <a:extLst>
            <a:ext uri="{FF2B5EF4-FFF2-40B4-BE49-F238E27FC236}">
              <a16:creationId xmlns:a16="http://schemas.microsoft.com/office/drawing/2014/main" id="{610FDC81-74E4-4EB3-94B2-959A331EBA10}"/>
            </a:ext>
          </a:extLst>
        </xdr:cNvPr>
        <xdr:cNvSpPr/>
      </xdr:nvSpPr>
      <xdr:spPr>
        <a:xfrm rot="16200000">
          <a:off x="3232345" y="1480332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114300</xdr:colOff>
      <xdr:row>14</xdr:row>
      <xdr:rowOff>167640</xdr:rowOff>
    </xdr:to>
    <xdr:sp macro="" textlink="">
      <xdr:nvSpPr>
        <xdr:cNvPr id="82" name="Arrow: Curved Up 81">
          <a:extLst>
            <a:ext uri="{FF2B5EF4-FFF2-40B4-BE49-F238E27FC236}">
              <a16:creationId xmlns:a16="http://schemas.microsoft.com/office/drawing/2014/main" id="{673CC02B-CDBE-4451-B429-58CFF2CA4D29}"/>
            </a:ext>
          </a:extLst>
        </xdr:cNvPr>
        <xdr:cNvSpPr/>
      </xdr:nvSpPr>
      <xdr:spPr>
        <a:xfrm rot="16200000">
          <a:off x="3232345" y="2570578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106680</xdr:colOff>
      <xdr:row>15</xdr:row>
      <xdr:rowOff>166467</xdr:rowOff>
    </xdr:to>
    <xdr:sp macro="" textlink="">
      <xdr:nvSpPr>
        <xdr:cNvPr id="83" name="Arrow: Curved Up 82">
          <a:extLst>
            <a:ext uri="{FF2B5EF4-FFF2-40B4-BE49-F238E27FC236}">
              <a16:creationId xmlns:a16="http://schemas.microsoft.com/office/drawing/2014/main" id="{739C9B85-6994-45DA-B2CC-918B43A3F907}"/>
            </a:ext>
          </a:extLst>
        </xdr:cNvPr>
        <xdr:cNvSpPr/>
      </xdr:nvSpPr>
      <xdr:spPr>
        <a:xfrm rot="16200000" flipH="1">
          <a:off x="3229121" y="2755509"/>
          <a:ext cx="166467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114300</xdr:colOff>
      <xdr:row>19</xdr:row>
      <xdr:rowOff>167640</xdr:rowOff>
    </xdr:to>
    <xdr:sp macro="" textlink="">
      <xdr:nvSpPr>
        <xdr:cNvPr id="84" name="Arrow: Curved Up 83">
          <a:extLst>
            <a:ext uri="{FF2B5EF4-FFF2-40B4-BE49-F238E27FC236}">
              <a16:creationId xmlns:a16="http://schemas.microsoft.com/office/drawing/2014/main" id="{B9AD585A-B08D-4D16-835A-5D5C174CC145}"/>
            </a:ext>
          </a:extLst>
        </xdr:cNvPr>
        <xdr:cNvSpPr/>
      </xdr:nvSpPr>
      <xdr:spPr>
        <a:xfrm rot="16200000">
          <a:off x="3232345" y="3479116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17</xdr:row>
      <xdr:rowOff>181707</xdr:rowOff>
    </xdr:from>
    <xdr:to>
      <xdr:col>4</xdr:col>
      <xdr:colOff>106680</xdr:colOff>
      <xdr:row>18</xdr:row>
      <xdr:rowOff>166468</xdr:rowOff>
    </xdr:to>
    <xdr:sp macro="" textlink="">
      <xdr:nvSpPr>
        <xdr:cNvPr id="85" name="Arrow: Curved Up 84">
          <a:extLst>
            <a:ext uri="{FF2B5EF4-FFF2-40B4-BE49-F238E27FC236}">
              <a16:creationId xmlns:a16="http://schemas.microsoft.com/office/drawing/2014/main" id="{2A1D8C4A-61B1-4622-8621-F01E496587AF}"/>
            </a:ext>
          </a:extLst>
        </xdr:cNvPr>
        <xdr:cNvSpPr/>
      </xdr:nvSpPr>
      <xdr:spPr>
        <a:xfrm rot="16200000" flipH="1">
          <a:off x="3229121" y="3300632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106680</xdr:colOff>
      <xdr:row>6</xdr:row>
      <xdr:rowOff>166468</xdr:rowOff>
    </xdr:to>
    <xdr:sp macro="" textlink="">
      <xdr:nvSpPr>
        <xdr:cNvPr id="86" name="Arrow: Curved Up 85">
          <a:extLst>
            <a:ext uri="{FF2B5EF4-FFF2-40B4-BE49-F238E27FC236}">
              <a16:creationId xmlns:a16="http://schemas.microsoft.com/office/drawing/2014/main" id="{408A0090-45C0-426D-A562-2DFEB596A430}"/>
            </a:ext>
          </a:extLst>
        </xdr:cNvPr>
        <xdr:cNvSpPr/>
      </xdr:nvSpPr>
      <xdr:spPr>
        <a:xfrm rot="16200000" flipH="1">
          <a:off x="3229121" y="1120140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114300</xdr:colOff>
      <xdr:row>7</xdr:row>
      <xdr:rowOff>167640</xdr:rowOff>
    </xdr:to>
    <xdr:sp macro="" textlink="">
      <xdr:nvSpPr>
        <xdr:cNvPr id="87" name="Arrow: Curved Up 86">
          <a:extLst>
            <a:ext uri="{FF2B5EF4-FFF2-40B4-BE49-F238E27FC236}">
              <a16:creationId xmlns:a16="http://schemas.microsoft.com/office/drawing/2014/main" id="{E1B6875D-780C-4FD9-B07B-74A6ACE32891}"/>
            </a:ext>
          </a:extLst>
        </xdr:cNvPr>
        <xdr:cNvSpPr/>
      </xdr:nvSpPr>
      <xdr:spPr>
        <a:xfrm rot="16200000">
          <a:off x="3232345" y="1298624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114300</xdr:colOff>
      <xdr:row>10</xdr:row>
      <xdr:rowOff>167640</xdr:rowOff>
    </xdr:to>
    <xdr:sp macro="" textlink="">
      <xdr:nvSpPr>
        <xdr:cNvPr id="88" name="Arrow: Curved Up 87">
          <a:extLst>
            <a:ext uri="{FF2B5EF4-FFF2-40B4-BE49-F238E27FC236}">
              <a16:creationId xmlns:a16="http://schemas.microsoft.com/office/drawing/2014/main" id="{92C17121-66FC-43E3-B6A8-0C0632F551F7}"/>
            </a:ext>
          </a:extLst>
        </xdr:cNvPr>
        <xdr:cNvSpPr/>
      </xdr:nvSpPr>
      <xdr:spPr>
        <a:xfrm rot="16200000">
          <a:off x="3232345" y="1843747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106680</xdr:colOff>
      <xdr:row>11</xdr:row>
      <xdr:rowOff>166467</xdr:rowOff>
    </xdr:to>
    <xdr:sp macro="" textlink="">
      <xdr:nvSpPr>
        <xdr:cNvPr id="89" name="Arrow: Curved Up 88">
          <a:extLst>
            <a:ext uri="{FF2B5EF4-FFF2-40B4-BE49-F238E27FC236}">
              <a16:creationId xmlns:a16="http://schemas.microsoft.com/office/drawing/2014/main" id="{EA9A8152-018C-488F-8E3F-14E21EBD26CE}"/>
            </a:ext>
          </a:extLst>
        </xdr:cNvPr>
        <xdr:cNvSpPr/>
      </xdr:nvSpPr>
      <xdr:spPr>
        <a:xfrm rot="16200000" flipH="1">
          <a:off x="3229121" y="2028679"/>
          <a:ext cx="166467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106680</xdr:colOff>
      <xdr:row>12</xdr:row>
      <xdr:rowOff>166468</xdr:rowOff>
    </xdr:to>
    <xdr:sp macro="" textlink="">
      <xdr:nvSpPr>
        <xdr:cNvPr id="90" name="Arrow: Curved Up 89">
          <a:extLst>
            <a:ext uri="{FF2B5EF4-FFF2-40B4-BE49-F238E27FC236}">
              <a16:creationId xmlns:a16="http://schemas.microsoft.com/office/drawing/2014/main" id="{0647D1CA-9E3B-4273-8427-45C6E719A286}"/>
            </a:ext>
          </a:extLst>
        </xdr:cNvPr>
        <xdr:cNvSpPr/>
      </xdr:nvSpPr>
      <xdr:spPr>
        <a:xfrm rot="16200000" flipH="1">
          <a:off x="3229121" y="2210386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114300</xdr:colOff>
      <xdr:row>13</xdr:row>
      <xdr:rowOff>167640</xdr:rowOff>
    </xdr:to>
    <xdr:sp macro="" textlink="">
      <xdr:nvSpPr>
        <xdr:cNvPr id="91" name="Arrow: Curved Up 90">
          <a:extLst>
            <a:ext uri="{FF2B5EF4-FFF2-40B4-BE49-F238E27FC236}">
              <a16:creationId xmlns:a16="http://schemas.microsoft.com/office/drawing/2014/main" id="{949E6764-847D-45A7-85AB-C73203146E2D}"/>
            </a:ext>
          </a:extLst>
        </xdr:cNvPr>
        <xdr:cNvSpPr/>
      </xdr:nvSpPr>
      <xdr:spPr>
        <a:xfrm rot="16200000">
          <a:off x="3232345" y="2388870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114300</xdr:colOff>
      <xdr:row>16</xdr:row>
      <xdr:rowOff>167640</xdr:rowOff>
    </xdr:to>
    <xdr:sp macro="" textlink="">
      <xdr:nvSpPr>
        <xdr:cNvPr id="92" name="Arrow: Curved Up 91">
          <a:extLst>
            <a:ext uri="{FF2B5EF4-FFF2-40B4-BE49-F238E27FC236}">
              <a16:creationId xmlns:a16="http://schemas.microsoft.com/office/drawing/2014/main" id="{DC9041A3-1702-4E80-ABA9-DFD45D5DA347}"/>
            </a:ext>
          </a:extLst>
        </xdr:cNvPr>
        <xdr:cNvSpPr/>
      </xdr:nvSpPr>
      <xdr:spPr>
        <a:xfrm rot="16200000">
          <a:off x="3232345" y="2933993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106680</xdr:colOff>
      <xdr:row>17</xdr:row>
      <xdr:rowOff>166467</xdr:rowOff>
    </xdr:to>
    <xdr:sp macro="" textlink="">
      <xdr:nvSpPr>
        <xdr:cNvPr id="93" name="Arrow: Curved Up 92">
          <a:extLst>
            <a:ext uri="{FF2B5EF4-FFF2-40B4-BE49-F238E27FC236}">
              <a16:creationId xmlns:a16="http://schemas.microsoft.com/office/drawing/2014/main" id="{36F91B23-DE73-4028-9D0E-F2DE8359B1C4}"/>
            </a:ext>
          </a:extLst>
        </xdr:cNvPr>
        <xdr:cNvSpPr/>
      </xdr:nvSpPr>
      <xdr:spPr>
        <a:xfrm rot="16200000" flipH="1">
          <a:off x="3229121" y="3118925"/>
          <a:ext cx="166467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106680</xdr:colOff>
      <xdr:row>6</xdr:row>
      <xdr:rowOff>166468</xdr:rowOff>
    </xdr:to>
    <xdr:sp macro="" textlink="">
      <xdr:nvSpPr>
        <xdr:cNvPr id="94" name="Arrow: Curved Up 93">
          <a:extLst>
            <a:ext uri="{FF2B5EF4-FFF2-40B4-BE49-F238E27FC236}">
              <a16:creationId xmlns:a16="http://schemas.microsoft.com/office/drawing/2014/main" id="{7CA7098A-9EC4-4F9E-8436-F808DA5AFAAD}"/>
            </a:ext>
          </a:extLst>
        </xdr:cNvPr>
        <xdr:cNvSpPr/>
      </xdr:nvSpPr>
      <xdr:spPr>
        <a:xfrm rot="16200000" flipH="1">
          <a:off x="2009921" y="1120140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2</xdr:col>
      <xdr:colOff>114300</xdr:colOff>
      <xdr:row>7</xdr:row>
      <xdr:rowOff>167640</xdr:rowOff>
    </xdr:to>
    <xdr:sp macro="" textlink="">
      <xdr:nvSpPr>
        <xdr:cNvPr id="95" name="Arrow: Curved Up 94">
          <a:extLst>
            <a:ext uri="{FF2B5EF4-FFF2-40B4-BE49-F238E27FC236}">
              <a16:creationId xmlns:a16="http://schemas.microsoft.com/office/drawing/2014/main" id="{B4B8E9A9-8E49-4E0B-8E12-7EB187832EB7}"/>
            </a:ext>
          </a:extLst>
        </xdr:cNvPr>
        <xdr:cNvSpPr/>
      </xdr:nvSpPr>
      <xdr:spPr>
        <a:xfrm rot="16200000">
          <a:off x="2013145" y="1298624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2</xdr:col>
      <xdr:colOff>114300</xdr:colOff>
      <xdr:row>9</xdr:row>
      <xdr:rowOff>167640</xdr:rowOff>
    </xdr:to>
    <xdr:sp macro="" textlink="">
      <xdr:nvSpPr>
        <xdr:cNvPr id="97" name="Arrow: Curved Up 96">
          <a:extLst>
            <a:ext uri="{FF2B5EF4-FFF2-40B4-BE49-F238E27FC236}">
              <a16:creationId xmlns:a16="http://schemas.microsoft.com/office/drawing/2014/main" id="{707FFF54-A59E-491D-AED1-54929C79CCE3}"/>
            </a:ext>
          </a:extLst>
        </xdr:cNvPr>
        <xdr:cNvSpPr/>
      </xdr:nvSpPr>
      <xdr:spPr>
        <a:xfrm rot="16200000">
          <a:off x="2013145" y="1662039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114300</xdr:colOff>
      <xdr:row>10</xdr:row>
      <xdr:rowOff>167640</xdr:rowOff>
    </xdr:to>
    <xdr:sp macro="" textlink="">
      <xdr:nvSpPr>
        <xdr:cNvPr id="98" name="Arrow: Curved Up 97">
          <a:extLst>
            <a:ext uri="{FF2B5EF4-FFF2-40B4-BE49-F238E27FC236}">
              <a16:creationId xmlns:a16="http://schemas.microsoft.com/office/drawing/2014/main" id="{B2126F14-30E4-4F24-A3D2-8297284BB966}"/>
            </a:ext>
          </a:extLst>
        </xdr:cNvPr>
        <xdr:cNvSpPr/>
      </xdr:nvSpPr>
      <xdr:spPr>
        <a:xfrm rot="16200000">
          <a:off x="2013145" y="1843747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106680</xdr:colOff>
      <xdr:row>11</xdr:row>
      <xdr:rowOff>166468</xdr:rowOff>
    </xdr:to>
    <xdr:sp macro="" textlink="">
      <xdr:nvSpPr>
        <xdr:cNvPr id="99" name="Arrow: Curved Up 98">
          <a:extLst>
            <a:ext uri="{FF2B5EF4-FFF2-40B4-BE49-F238E27FC236}">
              <a16:creationId xmlns:a16="http://schemas.microsoft.com/office/drawing/2014/main" id="{94792C64-BE27-4DC1-8DE0-FC756B765C3C}"/>
            </a:ext>
          </a:extLst>
        </xdr:cNvPr>
        <xdr:cNvSpPr/>
      </xdr:nvSpPr>
      <xdr:spPr>
        <a:xfrm rot="16200000" flipH="1">
          <a:off x="2009921" y="2028679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106680</xdr:colOff>
      <xdr:row>12</xdr:row>
      <xdr:rowOff>166468</xdr:rowOff>
    </xdr:to>
    <xdr:sp macro="" textlink="">
      <xdr:nvSpPr>
        <xdr:cNvPr id="100" name="Arrow: Curved Up 99">
          <a:extLst>
            <a:ext uri="{FF2B5EF4-FFF2-40B4-BE49-F238E27FC236}">
              <a16:creationId xmlns:a16="http://schemas.microsoft.com/office/drawing/2014/main" id="{76D37DD6-22BA-4A75-A7DE-7F1A88A1208F}"/>
            </a:ext>
          </a:extLst>
        </xdr:cNvPr>
        <xdr:cNvSpPr/>
      </xdr:nvSpPr>
      <xdr:spPr>
        <a:xfrm rot="16200000" flipH="1">
          <a:off x="2009921" y="2210386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114300</xdr:colOff>
      <xdr:row>13</xdr:row>
      <xdr:rowOff>167640</xdr:rowOff>
    </xdr:to>
    <xdr:sp macro="" textlink="">
      <xdr:nvSpPr>
        <xdr:cNvPr id="101" name="Arrow: Curved Up 100">
          <a:extLst>
            <a:ext uri="{FF2B5EF4-FFF2-40B4-BE49-F238E27FC236}">
              <a16:creationId xmlns:a16="http://schemas.microsoft.com/office/drawing/2014/main" id="{4F906220-032B-4EDF-9B82-7F3588B3AE72}"/>
            </a:ext>
          </a:extLst>
        </xdr:cNvPr>
        <xdr:cNvSpPr/>
      </xdr:nvSpPr>
      <xdr:spPr>
        <a:xfrm rot="16200000">
          <a:off x="2013145" y="2388870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106680</xdr:colOff>
      <xdr:row>14</xdr:row>
      <xdr:rowOff>166468</xdr:rowOff>
    </xdr:to>
    <xdr:sp macro="" textlink="">
      <xdr:nvSpPr>
        <xdr:cNvPr id="102" name="Arrow: Curved Up 101">
          <a:extLst>
            <a:ext uri="{FF2B5EF4-FFF2-40B4-BE49-F238E27FC236}">
              <a16:creationId xmlns:a16="http://schemas.microsoft.com/office/drawing/2014/main" id="{3EB68276-979D-4365-9427-3224FBA7DC8A}"/>
            </a:ext>
          </a:extLst>
        </xdr:cNvPr>
        <xdr:cNvSpPr/>
      </xdr:nvSpPr>
      <xdr:spPr>
        <a:xfrm rot="16200000" flipH="1">
          <a:off x="2009921" y="2573802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114300</xdr:colOff>
      <xdr:row>15</xdr:row>
      <xdr:rowOff>167640</xdr:rowOff>
    </xdr:to>
    <xdr:sp macro="" textlink="">
      <xdr:nvSpPr>
        <xdr:cNvPr id="103" name="Arrow: Curved Up 102">
          <a:extLst>
            <a:ext uri="{FF2B5EF4-FFF2-40B4-BE49-F238E27FC236}">
              <a16:creationId xmlns:a16="http://schemas.microsoft.com/office/drawing/2014/main" id="{85729887-96B2-4DCA-BEC5-239861D7B564}"/>
            </a:ext>
          </a:extLst>
        </xdr:cNvPr>
        <xdr:cNvSpPr/>
      </xdr:nvSpPr>
      <xdr:spPr>
        <a:xfrm rot="16200000">
          <a:off x="2013145" y="2752285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114300</xdr:colOff>
      <xdr:row>16</xdr:row>
      <xdr:rowOff>167640</xdr:rowOff>
    </xdr:to>
    <xdr:sp macro="" textlink="">
      <xdr:nvSpPr>
        <xdr:cNvPr id="104" name="Arrow: Curved Up 103">
          <a:extLst>
            <a:ext uri="{FF2B5EF4-FFF2-40B4-BE49-F238E27FC236}">
              <a16:creationId xmlns:a16="http://schemas.microsoft.com/office/drawing/2014/main" id="{3FA512D0-96C2-4FF2-9687-ECC1E59BDC07}"/>
            </a:ext>
          </a:extLst>
        </xdr:cNvPr>
        <xdr:cNvSpPr/>
      </xdr:nvSpPr>
      <xdr:spPr>
        <a:xfrm rot="16200000">
          <a:off x="2013145" y="2933993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106680</xdr:colOff>
      <xdr:row>17</xdr:row>
      <xdr:rowOff>166468</xdr:rowOff>
    </xdr:to>
    <xdr:sp macro="" textlink="">
      <xdr:nvSpPr>
        <xdr:cNvPr id="105" name="Arrow: Curved Up 104">
          <a:extLst>
            <a:ext uri="{FF2B5EF4-FFF2-40B4-BE49-F238E27FC236}">
              <a16:creationId xmlns:a16="http://schemas.microsoft.com/office/drawing/2014/main" id="{9D49E1FB-4BF3-49E0-B354-DCAB65888534}"/>
            </a:ext>
          </a:extLst>
        </xdr:cNvPr>
        <xdr:cNvSpPr/>
      </xdr:nvSpPr>
      <xdr:spPr>
        <a:xfrm rot="16200000" flipH="1">
          <a:off x="2009921" y="3118925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17</xdr:row>
      <xdr:rowOff>181707</xdr:rowOff>
    </xdr:from>
    <xdr:to>
      <xdr:col>2</xdr:col>
      <xdr:colOff>114300</xdr:colOff>
      <xdr:row>18</xdr:row>
      <xdr:rowOff>167640</xdr:rowOff>
    </xdr:to>
    <xdr:sp macro="" textlink="">
      <xdr:nvSpPr>
        <xdr:cNvPr id="106" name="Arrow: Curved Up 105">
          <a:extLst>
            <a:ext uri="{FF2B5EF4-FFF2-40B4-BE49-F238E27FC236}">
              <a16:creationId xmlns:a16="http://schemas.microsoft.com/office/drawing/2014/main" id="{6EEDBB19-8979-49E1-AC32-29ACD182F5A0}"/>
            </a:ext>
          </a:extLst>
        </xdr:cNvPr>
        <xdr:cNvSpPr/>
      </xdr:nvSpPr>
      <xdr:spPr>
        <a:xfrm rot="16200000">
          <a:off x="2013145" y="3297408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106680</xdr:colOff>
      <xdr:row>19</xdr:row>
      <xdr:rowOff>166468</xdr:rowOff>
    </xdr:to>
    <xdr:sp macro="" textlink="">
      <xdr:nvSpPr>
        <xdr:cNvPr id="107" name="Arrow: Curved Up 106">
          <a:extLst>
            <a:ext uri="{FF2B5EF4-FFF2-40B4-BE49-F238E27FC236}">
              <a16:creationId xmlns:a16="http://schemas.microsoft.com/office/drawing/2014/main" id="{984DBB6B-0034-4A2C-8378-1A29AA86A09F}"/>
            </a:ext>
          </a:extLst>
        </xdr:cNvPr>
        <xdr:cNvSpPr/>
      </xdr:nvSpPr>
      <xdr:spPr>
        <a:xfrm rot="16200000" flipH="1">
          <a:off x="2009921" y="3482340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106680</xdr:colOff>
      <xdr:row>8</xdr:row>
      <xdr:rowOff>166468</xdr:rowOff>
    </xdr:to>
    <xdr:sp macro="" textlink="">
      <xdr:nvSpPr>
        <xdr:cNvPr id="108" name="Arrow: Curved Up 107">
          <a:extLst>
            <a:ext uri="{FF2B5EF4-FFF2-40B4-BE49-F238E27FC236}">
              <a16:creationId xmlns:a16="http://schemas.microsoft.com/office/drawing/2014/main" id="{F0BF1214-58B4-43CB-AA0D-F01BB8B6BE7E}"/>
            </a:ext>
          </a:extLst>
        </xdr:cNvPr>
        <xdr:cNvSpPr/>
      </xdr:nvSpPr>
      <xdr:spPr>
        <a:xfrm rot="16200000" flipH="1">
          <a:off x="2009921" y="1483556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503497</xdr:colOff>
      <xdr:row>3</xdr:row>
      <xdr:rowOff>140677</xdr:rowOff>
    </xdr:from>
    <xdr:to>
      <xdr:col>4</xdr:col>
      <xdr:colOff>69157</xdr:colOff>
      <xdr:row>4</xdr:row>
      <xdr:rowOff>110291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31C805B1-5F77-41BD-9CF1-C4E2F3330D72}"/>
            </a:ext>
          </a:extLst>
        </xdr:cNvPr>
        <xdr:cNvCxnSpPr/>
      </xdr:nvCxnSpPr>
      <xdr:spPr>
        <a:xfrm flipH="1">
          <a:off x="3152912" y="685800"/>
          <a:ext cx="175260" cy="1513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35170</xdr:colOff>
      <xdr:row>2</xdr:row>
      <xdr:rowOff>69752</xdr:rowOff>
    </xdr:from>
    <xdr:to>
      <xdr:col>2</xdr:col>
      <xdr:colOff>457200</xdr:colOff>
      <xdr:row>4</xdr:row>
      <xdr:rowOff>84992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4E391B9D-61AA-2F38-91C8-9E6C024B7EF3}"/>
            </a:ext>
          </a:extLst>
        </xdr:cNvPr>
        <xdr:cNvGrpSpPr/>
      </xdr:nvGrpSpPr>
      <xdr:grpSpPr>
        <a:xfrm>
          <a:off x="1582030" y="435512"/>
          <a:ext cx="422030" cy="381000"/>
          <a:chOff x="1693985" y="386275"/>
          <a:chExt cx="422030" cy="378656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FB50E4D6-C143-3E81-5756-3171492FF75C}"/>
              </a:ext>
            </a:extLst>
          </xdr:cNvPr>
          <xdr:cNvGrpSpPr/>
        </xdr:nvGrpSpPr>
        <xdr:grpSpPr>
          <a:xfrm>
            <a:off x="1693985" y="386275"/>
            <a:ext cx="422030" cy="378656"/>
            <a:chOff x="3535680" y="868680"/>
            <a:chExt cx="457200" cy="381000"/>
          </a:xfrm>
        </xdr:grpSpPr>
        <xdr:sp macro="" textlink="">
          <xdr:nvSpPr>
            <xdr:cNvPr id="6" name="Hexagon 5">
              <a:extLst>
                <a:ext uri="{FF2B5EF4-FFF2-40B4-BE49-F238E27FC236}">
                  <a16:creationId xmlns:a16="http://schemas.microsoft.com/office/drawing/2014/main" id="{DA9EAA64-A3F6-8573-8390-4E5FFA7F9C47}"/>
                </a:ext>
              </a:extLst>
            </xdr:cNvPr>
            <xdr:cNvSpPr/>
          </xdr:nvSpPr>
          <xdr:spPr>
            <a:xfrm>
              <a:off x="3581400" y="86868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7" name="Hexagon 6">
              <a:extLst>
                <a:ext uri="{FF2B5EF4-FFF2-40B4-BE49-F238E27FC236}">
                  <a16:creationId xmlns:a16="http://schemas.microsoft.com/office/drawing/2014/main" id="{906768F7-4FDD-4B2B-B6E1-2E8AA93AEC6B}"/>
                </a:ext>
              </a:extLst>
            </xdr:cNvPr>
            <xdr:cNvSpPr/>
          </xdr:nvSpPr>
          <xdr:spPr>
            <a:xfrm>
              <a:off x="3535680" y="89916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116" name="Flowchart: Connector 115">
            <a:extLst>
              <a:ext uri="{FF2B5EF4-FFF2-40B4-BE49-F238E27FC236}">
                <a16:creationId xmlns:a16="http://schemas.microsoft.com/office/drawing/2014/main" id="{A22C1245-A245-1014-48F7-E102B55F8D10}"/>
              </a:ext>
            </a:extLst>
          </xdr:cNvPr>
          <xdr:cNvSpPr/>
        </xdr:nvSpPr>
        <xdr:spPr>
          <a:xfrm>
            <a:off x="1746738" y="574431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17" name="Flowchart: Connector 116">
            <a:extLst>
              <a:ext uri="{FF2B5EF4-FFF2-40B4-BE49-F238E27FC236}">
                <a16:creationId xmlns:a16="http://schemas.microsoft.com/office/drawing/2014/main" id="{DD96EE2A-EB93-471B-A045-192B69589C79}"/>
              </a:ext>
            </a:extLst>
          </xdr:cNvPr>
          <xdr:cNvSpPr/>
        </xdr:nvSpPr>
        <xdr:spPr>
          <a:xfrm>
            <a:off x="1793631" y="668216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4</xdr:col>
      <xdr:colOff>64478</xdr:colOff>
      <xdr:row>2</xdr:row>
      <xdr:rowOff>28721</xdr:rowOff>
    </xdr:from>
    <xdr:to>
      <xdr:col>4</xdr:col>
      <xdr:colOff>486508</xdr:colOff>
      <xdr:row>4</xdr:row>
      <xdr:rowOff>43961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E3CA8E84-3D31-492E-A728-46F958329D3A}"/>
            </a:ext>
          </a:extLst>
        </xdr:cNvPr>
        <xdr:cNvGrpSpPr/>
      </xdr:nvGrpSpPr>
      <xdr:grpSpPr>
        <a:xfrm>
          <a:off x="2960078" y="394481"/>
          <a:ext cx="422030" cy="381000"/>
          <a:chOff x="1693985" y="386275"/>
          <a:chExt cx="422030" cy="378656"/>
        </a:xfrm>
      </xdr:grpSpPr>
      <xdr:grpSp>
        <xdr:nvGrpSpPr>
          <xdr:cNvPr id="122" name="Group 121">
            <a:extLst>
              <a:ext uri="{FF2B5EF4-FFF2-40B4-BE49-F238E27FC236}">
                <a16:creationId xmlns:a16="http://schemas.microsoft.com/office/drawing/2014/main" id="{DCA9391E-E9D1-6B9E-D373-F98C1FB1F89E}"/>
              </a:ext>
            </a:extLst>
          </xdr:cNvPr>
          <xdr:cNvGrpSpPr/>
        </xdr:nvGrpSpPr>
        <xdr:grpSpPr>
          <a:xfrm>
            <a:off x="1693985" y="386275"/>
            <a:ext cx="422030" cy="378656"/>
            <a:chOff x="3535680" y="868680"/>
            <a:chExt cx="457200" cy="381000"/>
          </a:xfrm>
        </xdr:grpSpPr>
        <xdr:sp macro="" textlink="">
          <xdr:nvSpPr>
            <xdr:cNvPr id="125" name="Hexagon 124">
              <a:extLst>
                <a:ext uri="{FF2B5EF4-FFF2-40B4-BE49-F238E27FC236}">
                  <a16:creationId xmlns:a16="http://schemas.microsoft.com/office/drawing/2014/main" id="{ED3FCE29-CF51-E5F0-BFB6-5598B004F677}"/>
                </a:ext>
              </a:extLst>
            </xdr:cNvPr>
            <xdr:cNvSpPr/>
          </xdr:nvSpPr>
          <xdr:spPr>
            <a:xfrm>
              <a:off x="3581400" y="86868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26" name="Hexagon 125">
              <a:extLst>
                <a:ext uri="{FF2B5EF4-FFF2-40B4-BE49-F238E27FC236}">
                  <a16:creationId xmlns:a16="http://schemas.microsoft.com/office/drawing/2014/main" id="{910AC1A1-69A1-F212-39FE-BFC499062FF0}"/>
                </a:ext>
              </a:extLst>
            </xdr:cNvPr>
            <xdr:cNvSpPr/>
          </xdr:nvSpPr>
          <xdr:spPr>
            <a:xfrm>
              <a:off x="3535680" y="89916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123" name="Flowchart: Connector 122">
            <a:extLst>
              <a:ext uri="{FF2B5EF4-FFF2-40B4-BE49-F238E27FC236}">
                <a16:creationId xmlns:a16="http://schemas.microsoft.com/office/drawing/2014/main" id="{BEF59393-C62B-1F10-CE8D-ACA9E5B0723D}"/>
              </a:ext>
            </a:extLst>
          </xdr:cNvPr>
          <xdr:cNvSpPr/>
        </xdr:nvSpPr>
        <xdr:spPr>
          <a:xfrm>
            <a:off x="1746738" y="574431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24" name="Flowchart: Connector 123">
            <a:extLst>
              <a:ext uri="{FF2B5EF4-FFF2-40B4-BE49-F238E27FC236}">
                <a16:creationId xmlns:a16="http://schemas.microsoft.com/office/drawing/2014/main" id="{0B2B4EEB-F1CC-3213-5BC2-5493BC35C2EB}"/>
              </a:ext>
            </a:extLst>
          </xdr:cNvPr>
          <xdr:cNvSpPr/>
        </xdr:nvSpPr>
        <xdr:spPr>
          <a:xfrm>
            <a:off x="1793631" y="668216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6</xdr:col>
      <xdr:colOff>111369</xdr:colOff>
      <xdr:row>2</xdr:row>
      <xdr:rowOff>35169</xdr:rowOff>
    </xdr:from>
    <xdr:to>
      <xdr:col>6</xdr:col>
      <xdr:colOff>533399</xdr:colOff>
      <xdr:row>4</xdr:row>
      <xdr:rowOff>50409</xdr:rowOff>
    </xdr:to>
    <xdr:grpSp>
      <xdr:nvGrpSpPr>
        <xdr:cNvPr id="127" name="Group 126">
          <a:extLst>
            <a:ext uri="{FF2B5EF4-FFF2-40B4-BE49-F238E27FC236}">
              <a16:creationId xmlns:a16="http://schemas.microsoft.com/office/drawing/2014/main" id="{AD3C4CCA-BC84-4DFA-B18F-82DAF188DF36}"/>
            </a:ext>
          </a:extLst>
        </xdr:cNvPr>
        <xdr:cNvGrpSpPr/>
      </xdr:nvGrpSpPr>
      <xdr:grpSpPr>
        <a:xfrm>
          <a:off x="4607169" y="400929"/>
          <a:ext cx="422030" cy="381000"/>
          <a:chOff x="1693985" y="386275"/>
          <a:chExt cx="422030" cy="378656"/>
        </a:xfrm>
      </xdr:grpSpPr>
      <xdr:grpSp>
        <xdr:nvGrpSpPr>
          <xdr:cNvPr id="128" name="Group 127">
            <a:extLst>
              <a:ext uri="{FF2B5EF4-FFF2-40B4-BE49-F238E27FC236}">
                <a16:creationId xmlns:a16="http://schemas.microsoft.com/office/drawing/2014/main" id="{773E7000-1FEC-10F0-BD01-14E200827A2C}"/>
              </a:ext>
            </a:extLst>
          </xdr:cNvPr>
          <xdr:cNvGrpSpPr/>
        </xdr:nvGrpSpPr>
        <xdr:grpSpPr>
          <a:xfrm>
            <a:off x="1693985" y="386275"/>
            <a:ext cx="422030" cy="378656"/>
            <a:chOff x="3535680" y="868680"/>
            <a:chExt cx="457200" cy="381000"/>
          </a:xfrm>
        </xdr:grpSpPr>
        <xdr:sp macro="" textlink="">
          <xdr:nvSpPr>
            <xdr:cNvPr id="131" name="Hexagon 130">
              <a:extLst>
                <a:ext uri="{FF2B5EF4-FFF2-40B4-BE49-F238E27FC236}">
                  <a16:creationId xmlns:a16="http://schemas.microsoft.com/office/drawing/2014/main" id="{71FAD783-DC4D-10C2-6700-CDA1013C27F9}"/>
                </a:ext>
              </a:extLst>
            </xdr:cNvPr>
            <xdr:cNvSpPr/>
          </xdr:nvSpPr>
          <xdr:spPr>
            <a:xfrm>
              <a:off x="3581400" y="86868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32" name="Hexagon 131">
              <a:extLst>
                <a:ext uri="{FF2B5EF4-FFF2-40B4-BE49-F238E27FC236}">
                  <a16:creationId xmlns:a16="http://schemas.microsoft.com/office/drawing/2014/main" id="{1362EBCD-CDB7-195F-EF80-02C1836BFCD4}"/>
                </a:ext>
              </a:extLst>
            </xdr:cNvPr>
            <xdr:cNvSpPr/>
          </xdr:nvSpPr>
          <xdr:spPr>
            <a:xfrm>
              <a:off x="3535680" y="89916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129" name="Flowchart: Connector 128">
            <a:extLst>
              <a:ext uri="{FF2B5EF4-FFF2-40B4-BE49-F238E27FC236}">
                <a16:creationId xmlns:a16="http://schemas.microsoft.com/office/drawing/2014/main" id="{3F90AEFC-BAFA-C125-B30C-A1D6A7E9796C}"/>
              </a:ext>
            </a:extLst>
          </xdr:cNvPr>
          <xdr:cNvSpPr/>
        </xdr:nvSpPr>
        <xdr:spPr>
          <a:xfrm>
            <a:off x="1746738" y="574431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30" name="Flowchart: Connector 129">
            <a:extLst>
              <a:ext uri="{FF2B5EF4-FFF2-40B4-BE49-F238E27FC236}">
                <a16:creationId xmlns:a16="http://schemas.microsoft.com/office/drawing/2014/main" id="{94535BE1-AA4F-86D7-C623-6C89A406E82F}"/>
              </a:ext>
            </a:extLst>
          </xdr:cNvPr>
          <xdr:cNvSpPr/>
        </xdr:nvSpPr>
        <xdr:spPr>
          <a:xfrm>
            <a:off x="1793631" y="668216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9</xdr:col>
      <xdr:colOff>0</xdr:colOff>
      <xdr:row>8</xdr:row>
      <xdr:rowOff>0</xdr:rowOff>
    </xdr:from>
    <xdr:to>
      <xdr:col>9</xdr:col>
      <xdr:colOff>114300</xdr:colOff>
      <xdr:row>8</xdr:row>
      <xdr:rowOff>167640</xdr:rowOff>
    </xdr:to>
    <xdr:sp macro="" textlink="">
      <xdr:nvSpPr>
        <xdr:cNvPr id="134" name="Arrow: Curved Up 133">
          <a:extLst>
            <a:ext uri="{FF2B5EF4-FFF2-40B4-BE49-F238E27FC236}">
              <a16:creationId xmlns:a16="http://schemas.microsoft.com/office/drawing/2014/main" id="{E35ECDEF-1578-426F-AE77-2ADF1F72359F}"/>
            </a:ext>
          </a:extLst>
        </xdr:cNvPr>
        <xdr:cNvSpPr/>
      </xdr:nvSpPr>
      <xdr:spPr>
        <a:xfrm rot="16200000">
          <a:off x="3232345" y="1480332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114300</xdr:colOff>
      <xdr:row>14</xdr:row>
      <xdr:rowOff>167640</xdr:rowOff>
    </xdr:to>
    <xdr:sp macro="" textlink="">
      <xdr:nvSpPr>
        <xdr:cNvPr id="135" name="Arrow: Curved Up 134">
          <a:extLst>
            <a:ext uri="{FF2B5EF4-FFF2-40B4-BE49-F238E27FC236}">
              <a16:creationId xmlns:a16="http://schemas.microsoft.com/office/drawing/2014/main" id="{6208E811-20CF-4CDA-A570-19CF4FCA5FC8}"/>
            </a:ext>
          </a:extLst>
        </xdr:cNvPr>
        <xdr:cNvSpPr/>
      </xdr:nvSpPr>
      <xdr:spPr>
        <a:xfrm rot="16200000">
          <a:off x="3232345" y="2570578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114300</xdr:colOff>
      <xdr:row>19</xdr:row>
      <xdr:rowOff>167640</xdr:rowOff>
    </xdr:to>
    <xdr:sp macro="" textlink="">
      <xdr:nvSpPr>
        <xdr:cNvPr id="137" name="Arrow: Curved Up 136">
          <a:extLst>
            <a:ext uri="{FF2B5EF4-FFF2-40B4-BE49-F238E27FC236}">
              <a16:creationId xmlns:a16="http://schemas.microsoft.com/office/drawing/2014/main" id="{2BFE7BF7-65E0-4FC2-8926-BC0A7F674946}"/>
            </a:ext>
          </a:extLst>
        </xdr:cNvPr>
        <xdr:cNvSpPr/>
      </xdr:nvSpPr>
      <xdr:spPr>
        <a:xfrm rot="16200000">
          <a:off x="3232345" y="3479116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17</xdr:row>
      <xdr:rowOff>181707</xdr:rowOff>
    </xdr:from>
    <xdr:to>
      <xdr:col>9</xdr:col>
      <xdr:colOff>106680</xdr:colOff>
      <xdr:row>18</xdr:row>
      <xdr:rowOff>166468</xdr:rowOff>
    </xdr:to>
    <xdr:sp macro="" textlink="">
      <xdr:nvSpPr>
        <xdr:cNvPr id="138" name="Arrow: Curved Up 137">
          <a:extLst>
            <a:ext uri="{FF2B5EF4-FFF2-40B4-BE49-F238E27FC236}">
              <a16:creationId xmlns:a16="http://schemas.microsoft.com/office/drawing/2014/main" id="{6DC08383-75C5-42E9-9C66-921DFC681E7A}"/>
            </a:ext>
          </a:extLst>
        </xdr:cNvPr>
        <xdr:cNvSpPr/>
      </xdr:nvSpPr>
      <xdr:spPr>
        <a:xfrm rot="16200000" flipH="1">
          <a:off x="3229121" y="3300632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106680</xdr:colOff>
      <xdr:row>6</xdr:row>
      <xdr:rowOff>166468</xdr:rowOff>
    </xdr:to>
    <xdr:sp macro="" textlink="">
      <xdr:nvSpPr>
        <xdr:cNvPr id="139" name="Arrow: Curved Up 138">
          <a:extLst>
            <a:ext uri="{FF2B5EF4-FFF2-40B4-BE49-F238E27FC236}">
              <a16:creationId xmlns:a16="http://schemas.microsoft.com/office/drawing/2014/main" id="{CAE50432-9FA3-44C4-8506-07240D2A8985}"/>
            </a:ext>
          </a:extLst>
        </xdr:cNvPr>
        <xdr:cNvSpPr/>
      </xdr:nvSpPr>
      <xdr:spPr>
        <a:xfrm rot="16200000" flipH="1">
          <a:off x="3229121" y="1120140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114300</xdr:colOff>
      <xdr:row>7</xdr:row>
      <xdr:rowOff>167640</xdr:rowOff>
    </xdr:to>
    <xdr:sp macro="" textlink="">
      <xdr:nvSpPr>
        <xdr:cNvPr id="140" name="Arrow: Curved Up 139">
          <a:extLst>
            <a:ext uri="{FF2B5EF4-FFF2-40B4-BE49-F238E27FC236}">
              <a16:creationId xmlns:a16="http://schemas.microsoft.com/office/drawing/2014/main" id="{136026A6-A144-4492-86FE-83D0D0D6B5AA}"/>
            </a:ext>
          </a:extLst>
        </xdr:cNvPr>
        <xdr:cNvSpPr/>
      </xdr:nvSpPr>
      <xdr:spPr>
        <a:xfrm rot="16200000">
          <a:off x="3232345" y="1298624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9</xdr:col>
      <xdr:colOff>114300</xdr:colOff>
      <xdr:row>10</xdr:row>
      <xdr:rowOff>167640</xdr:rowOff>
    </xdr:to>
    <xdr:sp macro="" textlink="">
      <xdr:nvSpPr>
        <xdr:cNvPr id="141" name="Arrow: Curved Up 140">
          <a:extLst>
            <a:ext uri="{FF2B5EF4-FFF2-40B4-BE49-F238E27FC236}">
              <a16:creationId xmlns:a16="http://schemas.microsoft.com/office/drawing/2014/main" id="{A0BAC70C-7821-4C0B-AF24-853929D5E79D}"/>
            </a:ext>
          </a:extLst>
        </xdr:cNvPr>
        <xdr:cNvSpPr/>
      </xdr:nvSpPr>
      <xdr:spPr>
        <a:xfrm rot="16200000">
          <a:off x="3232345" y="1843747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11</xdr:row>
      <xdr:rowOff>0</xdr:rowOff>
    </xdr:from>
    <xdr:to>
      <xdr:col>9</xdr:col>
      <xdr:colOff>106680</xdr:colOff>
      <xdr:row>11</xdr:row>
      <xdr:rowOff>166467</xdr:rowOff>
    </xdr:to>
    <xdr:sp macro="" textlink="">
      <xdr:nvSpPr>
        <xdr:cNvPr id="142" name="Arrow: Curved Up 141">
          <a:extLst>
            <a:ext uri="{FF2B5EF4-FFF2-40B4-BE49-F238E27FC236}">
              <a16:creationId xmlns:a16="http://schemas.microsoft.com/office/drawing/2014/main" id="{D3AA4CC5-8F23-4371-8BD9-96F03D2F3CC0}"/>
            </a:ext>
          </a:extLst>
        </xdr:cNvPr>
        <xdr:cNvSpPr/>
      </xdr:nvSpPr>
      <xdr:spPr>
        <a:xfrm rot="16200000" flipH="1">
          <a:off x="3229121" y="2028679"/>
          <a:ext cx="166467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12</xdr:row>
      <xdr:rowOff>0</xdr:rowOff>
    </xdr:from>
    <xdr:to>
      <xdr:col>9</xdr:col>
      <xdr:colOff>106680</xdr:colOff>
      <xdr:row>12</xdr:row>
      <xdr:rowOff>166468</xdr:rowOff>
    </xdr:to>
    <xdr:sp macro="" textlink="">
      <xdr:nvSpPr>
        <xdr:cNvPr id="143" name="Arrow: Curved Up 142">
          <a:extLst>
            <a:ext uri="{FF2B5EF4-FFF2-40B4-BE49-F238E27FC236}">
              <a16:creationId xmlns:a16="http://schemas.microsoft.com/office/drawing/2014/main" id="{DF955545-2915-493C-AE08-CF8B6C29DCB0}"/>
            </a:ext>
          </a:extLst>
        </xdr:cNvPr>
        <xdr:cNvSpPr/>
      </xdr:nvSpPr>
      <xdr:spPr>
        <a:xfrm rot="16200000" flipH="1">
          <a:off x="3229121" y="2210386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114300</xdr:colOff>
      <xdr:row>13</xdr:row>
      <xdr:rowOff>167640</xdr:rowOff>
    </xdr:to>
    <xdr:sp macro="" textlink="">
      <xdr:nvSpPr>
        <xdr:cNvPr id="144" name="Arrow: Curved Up 143">
          <a:extLst>
            <a:ext uri="{FF2B5EF4-FFF2-40B4-BE49-F238E27FC236}">
              <a16:creationId xmlns:a16="http://schemas.microsoft.com/office/drawing/2014/main" id="{BB9CDEC4-7BD2-4723-A2BE-F0AE46A17E9F}"/>
            </a:ext>
          </a:extLst>
        </xdr:cNvPr>
        <xdr:cNvSpPr/>
      </xdr:nvSpPr>
      <xdr:spPr>
        <a:xfrm rot="16200000">
          <a:off x="3232345" y="2388870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16</xdr:row>
      <xdr:rowOff>0</xdr:rowOff>
    </xdr:from>
    <xdr:to>
      <xdr:col>9</xdr:col>
      <xdr:colOff>114300</xdr:colOff>
      <xdr:row>16</xdr:row>
      <xdr:rowOff>167640</xdr:rowOff>
    </xdr:to>
    <xdr:sp macro="" textlink="">
      <xdr:nvSpPr>
        <xdr:cNvPr id="145" name="Arrow: Curved Up 144">
          <a:extLst>
            <a:ext uri="{FF2B5EF4-FFF2-40B4-BE49-F238E27FC236}">
              <a16:creationId xmlns:a16="http://schemas.microsoft.com/office/drawing/2014/main" id="{F4F63AD1-A5FD-4881-9C0B-BDA6AE1D673D}"/>
            </a:ext>
          </a:extLst>
        </xdr:cNvPr>
        <xdr:cNvSpPr/>
      </xdr:nvSpPr>
      <xdr:spPr>
        <a:xfrm rot="16200000">
          <a:off x="3232345" y="2933993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9</xdr:col>
      <xdr:colOff>106680</xdr:colOff>
      <xdr:row>17</xdr:row>
      <xdr:rowOff>166467</xdr:rowOff>
    </xdr:to>
    <xdr:sp macro="" textlink="">
      <xdr:nvSpPr>
        <xdr:cNvPr id="146" name="Arrow: Curved Up 145">
          <a:extLst>
            <a:ext uri="{FF2B5EF4-FFF2-40B4-BE49-F238E27FC236}">
              <a16:creationId xmlns:a16="http://schemas.microsoft.com/office/drawing/2014/main" id="{12FD6414-DCEC-4BF7-AA0F-1E03FD72755E}"/>
            </a:ext>
          </a:extLst>
        </xdr:cNvPr>
        <xdr:cNvSpPr/>
      </xdr:nvSpPr>
      <xdr:spPr>
        <a:xfrm rot="16200000" flipH="1">
          <a:off x="3229121" y="3118925"/>
          <a:ext cx="166467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7</xdr:col>
      <xdr:colOff>106680</xdr:colOff>
      <xdr:row>6</xdr:row>
      <xdr:rowOff>166468</xdr:rowOff>
    </xdr:to>
    <xdr:sp macro="" textlink="">
      <xdr:nvSpPr>
        <xdr:cNvPr id="147" name="Arrow: Curved Up 146">
          <a:extLst>
            <a:ext uri="{FF2B5EF4-FFF2-40B4-BE49-F238E27FC236}">
              <a16:creationId xmlns:a16="http://schemas.microsoft.com/office/drawing/2014/main" id="{55736DE3-F6D6-4C5D-BDF3-61AA55D1D248}"/>
            </a:ext>
          </a:extLst>
        </xdr:cNvPr>
        <xdr:cNvSpPr/>
      </xdr:nvSpPr>
      <xdr:spPr>
        <a:xfrm rot="16200000" flipH="1">
          <a:off x="2009921" y="1120140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7</xdr:col>
      <xdr:colOff>114300</xdr:colOff>
      <xdr:row>7</xdr:row>
      <xdr:rowOff>167640</xdr:rowOff>
    </xdr:to>
    <xdr:sp macro="" textlink="">
      <xdr:nvSpPr>
        <xdr:cNvPr id="148" name="Arrow: Curved Up 147">
          <a:extLst>
            <a:ext uri="{FF2B5EF4-FFF2-40B4-BE49-F238E27FC236}">
              <a16:creationId xmlns:a16="http://schemas.microsoft.com/office/drawing/2014/main" id="{1017B3DF-9D5F-45AB-B1D3-F4828A88858D}"/>
            </a:ext>
          </a:extLst>
        </xdr:cNvPr>
        <xdr:cNvSpPr/>
      </xdr:nvSpPr>
      <xdr:spPr>
        <a:xfrm rot="16200000">
          <a:off x="2013145" y="1298624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114300</xdr:colOff>
      <xdr:row>10</xdr:row>
      <xdr:rowOff>167640</xdr:rowOff>
    </xdr:to>
    <xdr:sp macro="" textlink="">
      <xdr:nvSpPr>
        <xdr:cNvPr id="150" name="Arrow: Curved Up 149">
          <a:extLst>
            <a:ext uri="{FF2B5EF4-FFF2-40B4-BE49-F238E27FC236}">
              <a16:creationId xmlns:a16="http://schemas.microsoft.com/office/drawing/2014/main" id="{37F4B489-69FD-4759-BF7D-F65E77936935}"/>
            </a:ext>
          </a:extLst>
        </xdr:cNvPr>
        <xdr:cNvSpPr/>
      </xdr:nvSpPr>
      <xdr:spPr>
        <a:xfrm rot="16200000">
          <a:off x="2013145" y="1843747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106680</xdr:colOff>
      <xdr:row>11</xdr:row>
      <xdr:rowOff>166468</xdr:rowOff>
    </xdr:to>
    <xdr:sp macro="" textlink="">
      <xdr:nvSpPr>
        <xdr:cNvPr id="151" name="Arrow: Curved Up 150">
          <a:extLst>
            <a:ext uri="{FF2B5EF4-FFF2-40B4-BE49-F238E27FC236}">
              <a16:creationId xmlns:a16="http://schemas.microsoft.com/office/drawing/2014/main" id="{EC8C6FC2-6F07-4E99-BAA8-A6462A284F4D}"/>
            </a:ext>
          </a:extLst>
        </xdr:cNvPr>
        <xdr:cNvSpPr/>
      </xdr:nvSpPr>
      <xdr:spPr>
        <a:xfrm rot="16200000" flipH="1">
          <a:off x="2009921" y="2028679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106680</xdr:colOff>
      <xdr:row>12</xdr:row>
      <xdr:rowOff>166468</xdr:rowOff>
    </xdr:to>
    <xdr:sp macro="" textlink="">
      <xdr:nvSpPr>
        <xdr:cNvPr id="152" name="Arrow: Curved Up 151">
          <a:extLst>
            <a:ext uri="{FF2B5EF4-FFF2-40B4-BE49-F238E27FC236}">
              <a16:creationId xmlns:a16="http://schemas.microsoft.com/office/drawing/2014/main" id="{F9ACA2DB-0E04-4909-B46F-5B6F6A0F647C}"/>
            </a:ext>
          </a:extLst>
        </xdr:cNvPr>
        <xdr:cNvSpPr/>
      </xdr:nvSpPr>
      <xdr:spPr>
        <a:xfrm rot="16200000" flipH="1">
          <a:off x="2009921" y="2210386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114300</xdr:colOff>
      <xdr:row>13</xdr:row>
      <xdr:rowOff>167640</xdr:rowOff>
    </xdr:to>
    <xdr:sp macro="" textlink="">
      <xdr:nvSpPr>
        <xdr:cNvPr id="153" name="Arrow: Curved Up 152">
          <a:extLst>
            <a:ext uri="{FF2B5EF4-FFF2-40B4-BE49-F238E27FC236}">
              <a16:creationId xmlns:a16="http://schemas.microsoft.com/office/drawing/2014/main" id="{DF8A1D2A-112F-4BEE-BE8C-E6F73FEF9AEB}"/>
            </a:ext>
          </a:extLst>
        </xdr:cNvPr>
        <xdr:cNvSpPr/>
      </xdr:nvSpPr>
      <xdr:spPr>
        <a:xfrm rot="16200000">
          <a:off x="2013145" y="2388870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106680</xdr:colOff>
      <xdr:row>14</xdr:row>
      <xdr:rowOff>166468</xdr:rowOff>
    </xdr:to>
    <xdr:sp macro="" textlink="">
      <xdr:nvSpPr>
        <xdr:cNvPr id="154" name="Arrow: Curved Up 153">
          <a:extLst>
            <a:ext uri="{FF2B5EF4-FFF2-40B4-BE49-F238E27FC236}">
              <a16:creationId xmlns:a16="http://schemas.microsoft.com/office/drawing/2014/main" id="{79A1B746-7417-43E5-B716-9A43A964492F}"/>
            </a:ext>
          </a:extLst>
        </xdr:cNvPr>
        <xdr:cNvSpPr/>
      </xdr:nvSpPr>
      <xdr:spPr>
        <a:xfrm rot="16200000" flipH="1">
          <a:off x="2009921" y="2573802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114300</xdr:colOff>
      <xdr:row>16</xdr:row>
      <xdr:rowOff>167640</xdr:rowOff>
    </xdr:to>
    <xdr:sp macro="" textlink="">
      <xdr:nvSpPr>
        <xdr:cNvPr id="156" name="Arrow: Curved Up 155">
          <a:extLst>
            <a:ext uri="{FF2B5EF4-FFF2-40B4-BE49-F238E27FC236}">
              <a16:creationId xmlns:a16="http://schemas.microsoft.com/office/drawing/2014/main" id="{44D7A615-34A8-430C-8D49-C5DB3F05E7A3}"/>
            </a:ext>
          </a:extLst>
        </xdr:cNvPr>
        <xdr:cNvSpPr/>
      </xdr:nvSpPr>
      <xdr:spPr>
        <a:xfrm rot="16200000">
          <a:off x="2013145" y="2933993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106680</xdr:colOff>
      <xdr:row>17</xdr:row>
      <xdr:rowOff>166468</xdr:rowOff>
    </xdr:to>
    <xdr:sp macro="" textlink="">
      <xdr:nvSpPr>
        <xdr:cNvPr id="157" name="Arrow: Curved Up 156">
          <a:extLst>
            <a:ext uri="{FF2B5EF4-FFF2-40B4-BE49-F238E27FC236}">
              <a16:creationId xmlns:a16="http://schemas.microsoft.com/office/drawing/2014/main" id="{B7ECBBBC-DFF5-43E8-A331-B370898ACC5C}"/>
            </a:ext>
          </a:extLst>
        </xdr:cNvPr>
        <xdr:cNvSpPr/>
      </xdr:nvSpPr>
      <xdr:spPr>
        <a:xfrm rot="16200000" flipH="1">
          <a:off x="2009921" y="3118925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17</xdr:row>
      <xdr:rowOff>181707</xdr:rowOff>
    </xdr:from>
    <xdr:to>
      <xdr:col>7</xdr:col>
      <xdr:colOff>114300</xdr:colOff>
      <xdr:row>18</xdr:row>
      <xdr:rowOff>167640</xdr:rowOff>
    </xdr:to>
    <xdr:sp macro="" textlink="">
      <xdr:nvSpPr>
        <xdr:cNvPr id="158" name="Arrow: Curved Up 157">
          <a:extLst>
            <a:ext uri="{FF2B5EF4-FFF2-40B4-BE49-F238E27FC236}">
              <a16:creationId xmlns:a16="http://schemas.microsoft.com/office/drawing/2014/main" id="{624C8098-A26C-4E2F-A130-498D5F239107}"/>
            </a:ext>
          </a:extLst>
        </xdr:cNvPr>
        <xdr:cNvSpPr/>
      </xdr:nvSpPr>
      <xdr:spPr>
        <a:xfrm rot="16200000">
          <a:off x="2013145" y="3297408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106680</xdr:colOff>
      <xdr:row>8</xdr:row>
      <xdr:rowOff>166468</xdr:rowOff>
    </xdr:to>
    <xdr:sp macro="" textlink="">
      <xdr:nvSpPr>
        <xdr:cNvPr id="160" name="Arrow: Curved Up 159">
          <a:extLst>
            <a:ext uri="{FF2B5EF4-FFF2-40B4-BE49-F238E27FC236}">
              <a16:creationId xmlns:a16="http://schemas.microsoft.com/office/drawing/2014/main" id="{56AF8991-879B-4205-A3B0-4953C532BDF4}"/>
            </a:ext>
          </a:extLst>
        </xdr:cNvPr>
        <xdr:cNvSpPr/>
      </xdr:nvSpPr>
      <xdr:spPr>
        <a:xfrm rot="16200000" flipH="1">
          <a:off x="2009921" y="1483556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114300</xdr:colOff>
      <xdr:row>19</xdr:row>
      <xdr:rowOff>167640</xdr:rowOff>
    </xdr:to>
    <xdr:sp macro="" textlink="">
      <xdr:nvSpPr>
        <xdr:cNvPr id="162" name="Arrow: Curved Up 161">
          <a:extLst>
            <a:ext uri="{FF2B5EF4-FFF2-40B4-BE49-F238E27FC236}">
              <a16:creationId xmlns:a16="http://schemas.microsoft.com/office/drawing/2014/main" id="{57BD257F-C918-4078-B75C-B4C179C1E261}"/>
            </a:ext>
          </a:extLst>
        </xdr:cNvPr>
        <xdr:cNvSpPr/>
      </xdr:nvSpPr>
      <xdr:spPr>
        <a:xfrm rot="16200000">
          <a:off x="5108038" y="3479116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465894</xdr:colOff>
      <xdr:row>1</xdr:row>
      <xdr:rowOff>48796</xdr:rowOff>
    </xdr:from>
    <xdr:to>
      <xdr:col>6</xdr:col>
      <xdr:colOff>643501</xdr:colOff>
      <xdr:row>3</xdr:row>
      <xdr:rowOff>123260</xdr:rowOff>
    </xdr:to>
    <xdr:sp macro="" textlink="">
      <xdr:nvSpPr>
        <xdr:cNvPr id="163" name="Arrow: Curved Up 162">
          <a:extLst>
            <a:ext uri="{FF2B5EF4-FFF2-40B4-BE49-F238E27FC236}">
              <a16:creationId xmlns:a16="http://schemas.microsoft.com/office/drawing/2014/main" id="{DB9EC969-3A32-4018-81EE-AAD3A9F4CC46}"/>
            </a:ext>
          </a:extLst>
        </xdr:cNvPr>
        <xdr:cNvSpPr/>
      </xdr:nvSpPr>
      <xdr:spPr>
        <a:xfrm rot="14156967" flipH="1">
          <a:off x="4813973" y="360640"/>
          <a:ext cx="437879" cy="177607"/>
        </a:xfrm>
        <a:prstGeom prst="curvedUpArrow">
          <a:avLst>
            <a:gd name="adj1" fmla="val 25000"/>
            <a:gd name="adj2" fmla="val 36155"/>
            <a:gd name="adj3" fmla="val 3947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158261</xdr:colOff>
      <xdr:row>2</xdr:row>
      <xdr:rowOff>41030</xdr:rowOff>
    </xdr:from>
    <xdr:to>
      <xdr:col>8</xdr:col>
      <xdr:colOff>580291</xdr:colOff>
      <xdr:row>4</xdr:row>
      <xdr:rowOff>56270</xdr:rowOff>
    </xdr:to>
    <xdr:grpSp>
      <xdr:nvGrpSpPr>
        <xdr:cNvPr id="164" name="Group 163">
          <a:extLst>
            <a:ext uri="{FF2B5EF4-FFF2-40B4-BE49-F238E27FC236}">
              <a16:creationId xmlns:a16="http://schemas.microsoft.com/office/drawing/2014/main" id="{66D74E16-4DB8-4941-88A7-C8FF16863135}"/>
            </a:ext>
          </a:extLst>
        </xdr:cNvPr>
        <xdr:cNvGrpSpPr/>
      </xdr:nvGrpSpPr>
      <xdr:grpSpPr>
        <a:xfrm>
          <a:off x="6033281" y="406790"/>
          <a:ext cx="422030" cy="381000"/>
          <a:chOff x="1693985" y="386275"/>
          <a:chExt cx="422030" cy="378656"/>
        </a:xfrm>
      </xdr:grpSpPr>
      <xdr:grpSp>
        <xdr:nvGrpSpPr>
          <xdr:cNvPr id="165" name="Group 164">
            <a:extLst>
              <a:ext uri="{FF2B5EF4-FFF2-40B4-BE49-F238E27FC236}">
                <a16:creationId xmlns:a16="http://schemas.microsoft.com/office/drawing/2014/main" id="{7B3E053D-021B-8FB8-9CD6-9481AE2CB229}"/>
              </a:ext>
            </a:extLst>
          </xdr:cNvPr>
          <xdr:cNvGrpSpPr/>
        </xdr:nvGrpSpPr>
        <xdr:grpSpPr>
          <a:xfrm>
            <a:off x="1693985" y="386275"/>
            <a:ext cx="422030" cy="378656"/>
            <a:chOff x="3535680" y="868680"/>
            <a:chExt cx="457200" cy="381000"/>
          </a:xfrm>
        </xdr:grpSpPr>
        <xdr:sp macro="" textlink="">
          <xdr:nvSpPr>
            <xdr:cNvPr id="168" name="Hexagon 167">
              <a:extLst>
                <a:ext uri="{FF2B5EF4-FFF2-40B4-BE49-F238E27FC236}">
                  <a16:creationId xmlns:a16="http://schemas.microsoft.com/office/drawing/2014/main" id="{100614D7-C706-6846-6E97-EFA24A2DC26F}"/>
                </a:ext>
              </a:extLst>
            </xdr:cNvPr>
            <xdr:cNvSpPr/>
          </xdr:nvSpPr>
          <xdr:spPr>
            <a:xfrm>
              <a:off x="3581400" y="86868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69" name="Hexagon 168">
              <a:extLst>
                <a:ext uri="{FF2B5EF4-FFF2-40B4-BE49-F238E27FC236}">
                  <a16:creationId xmlns:a16="http://schemas.microsoft.com/office/drawing/2014/main" id="{D50E75FE-E285-E047-40F9-0BD38084AF83}"/>
                </a:ext>
              </a:extLst>
            </xdr:cNvPr>
            <xdr:cNvSpPr/>
          </xdr:nvSpPr>
          <xdr:spPr>
            <a:xfrm>
              <a:off x="3535680" y="89916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166" name="Flowchart: Connector 165">
            <a:extLst>
              <a:ext uri="{FF2B5EF4-FFF2-40B4-BE49-F238E27FC236}">
                <a16:creationId xmlns:a16="http://schemas.microsoft.com/office/drawing/2014/main" id="{F93DDAF7-E4DE-268C-4936-962BCEFA24D8}"/>
              </a:ext>
            </a:extLst>
          </xdr:cNvPr>
          <xdr:cNvSpPr/>
        </xdr:nvSpPr>
        <xdr:spPr>
          <a:xfrm>
            <a:off x="1746738" y="574431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67" name="Flowchart: Connector 166">
            <a:extLst>
              <a:ext uri="{FF2B5EF4-FFF2-40B4-BE49-F238E27FC236}">
                <a16:creationId xmlns:a16="http://schemas.microsoft.com/office/drawing/2014/main" id="{129CD95D-BF5A-3D45-CA30-62CE22792AAD}"/>
              </a:ext>
            </a:extLst>
          </xdr:cNvPr>
          <xdr:cNvSpPr/>
        </xdr:nvSpPr>
        <xdr:spPr>
          <a:xfrm>
            <a:off x="1793631" y="668216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8</xdr:col>
      <xdr:colOff>68735</xdr:colOff>
      <xdr:row>2</xdr:row>
      <xdr:rowOff>133677</xdr:rowOff>
    </xdr:from>
    <xdr:to>
      <xdr:col>8</xdr:col>
      <xdr:colOff>237004</xdr:colOff>
      <xdr:row>5</xdr:row>
      <xdr:rowOff>26433</xdr:rowOff>
    </xdr:to>
    <xdr:sp macro="" textlink="">
      <xdr:nvSpPr>
        <xdr:cNvPr id="170" name="Arrow: Curved Up 169">
          <a:extLst>
            <a:ext uri="{FF2B5EF4-FFF2-40B4-BE49-F238E27FC236}">
              <a16:creationId xmlns:a16="http://schemas.microsoft.com/office/drawing/2014/main" id="{F36E7A8D-D24E-48DF-86D0-6FE82AA8CF46}"/>
            </a:ext>
          </a:extLst>
        </xdr:cNvPr>
        <xdr:cNvSpPr/>
      </xdr:nvSpPr>
      <xdr:spPr>
        <a:xfrm rot="14156967" flipH="1" flipV="1">
          <a:off x="5678238" y="631897"/>
          <a:ext cx="437879" cy="168269"/>
        </a:xfrm>
        <a:prstGeom prst="curvedUpArrow">
          <a:avLst>
            <a:gd name="adj1" fmla="val 25000"/>
            <a:gd name="adj2" fmla="val 36155"/>
            <a:gd name="adj3" fmla="val 3947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6</xdr:row>
      <xdr:rowOff>0</xdr:rowOff>
    </xdr:from>
    <xdr:to>
      <xdr:col>12</xdr:col>
      <xdr:colOff>106680</xdr:colOff>
      <xdr:row>6</xdr:row>
      <xdr:rowOff>166468</xdr:rowOff>
    </xdr:to>
    <xdr:sp macro="" textlink="">
      <xdr:nvSpPr>
        <xdr:cNvPr id="171" name="Arrow: Curved Up 170">
          <a:extLst>
            <a:ext uri="{FF2B5EF4-FFF2-40B4-BE49-F238E27FC236}">
              <a16:creationId xmlns:a16="http://schemas.microsoft.com/office/drawing/2014/main" id="{7E0CA593-0AA0-4FD9-9B85-FEC60C803BB6}"/>
            </a:ext>
          </a:extLst>
        </xdr:cNvPr>
        <xdr:cNvSpPr/>
      </xdr:nvSpPr>
      <xdr:spPr>
        <a:xfrm rot="16200000" flipH="1">
          <a:off x="8199706" y="1120140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106680</xdr:colOff>
      <xdr:row>8</xdr:row>
      <xdr:rowOff>166468</xdr:rowOff>
    </xdr:to>
    <xdr:sp macro="" textlink="">
      <xdr:nvSpPr>
        <xdr:cNvPr id="172" name="Arrow: Curved Up 171">
          <a:extLst>
            <a:ext uri="{FF2B5EF4-FFF2-40B4-BE49-F238E27FC236}">
              <a16:creationId xmlns:a16="http://schemas.microsoft.com/office/drawing/2014/main" id="{3058CFB7-84D4-4ECB-BA97-889A3DFF9C68}"/>
            </a:ext>
          </a:extLst>
        </xdr:cNvPr>
        <xdr:cNvSpPr/>
      </xdr:nvSpPr>
      <xdr:spPr>
        <a:xfrm rot="16200000" flipH="1">
          <a:off x="8199706" y="1483556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114300</xdr:colOff>
      <xdr:row>7</xdr:row>
      <xdr:rowOff>167640</xdr:rowOff>
    </xdr:to>
    <xdr:sp macro="" textlink="">
      <xdr:nvSpPr>
        <xdr:cNvPr id="173" name="Arrow: Curved Up 172">
          <a:extLst>
            <a:ext uri="{FF2B5EF4-FFF2-40B4-BE49-F238E27FC236}">
              <a16:creationId xmlns:a16="http://schemas.microsoft.com/office/drawing/2014/main" id="{CB5D45AB-62A9-4F35-A60B-AFCB63AE1CAF}"/>
            </a:ext>
          </a:extLst>
        </xdr:cNvPr>
        <xdr:cNvSpPr/>
      </xdr:nvSpPr>
      <xdr:spPr>
        <a:xfrm rot="16200000">
          <a:off x="8202930" y="1298624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0</xdr:colOff>
      <xdr:row>9</xdr:row>
      <xdr:rowOff>0</xdr:rowOff>
    </xdr:from>
    <xdr:to>
      <xdr:col>12</xdr:col>
      <xdr:colOff>114300</xdr:colOff>
      <xdr:row>9</xdr:row>
      <xdr:rowOff>167640</xdr:rowOff>
    </xdr:to>
    <xdr:sp macro="" textlink="">
      <xdr:nvSpPr>
        <xdr:cNvPr id="174" name="Arrow: Curved Up 173">
          <a:extLst>
            <a:ext uri="{FF2B5EF4-FFF2-40B4-BE49-F238E27FC236}">
              <a16:creationId xmlns:a16="http://schemas.microsoft.com/office/drawing/2014/main" id="{93BEC2DE-FF80-480F-AB16-9C80D08FC985}"/>
            </a:ext>
          </a:extLst>
        </xdr:cNvPr>
        <xdr:cNvSpPr/>
      </xdr:nvSpPr>
      <xdr:spPr>
        <a:xfrm rot="16200000">
          <a:off x="8202930" y="1662039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0</xdr:colOff>
      <xdr:row>6</xdr:row>
      <xdr:rowOff>0</xdr:rowOff>
    </xdr:from>
    <xdr:to>
      <xdr:col>14</xdr:col>
      <xdr:colOff>114300</xdr:colOff>
      <xdr:row>6</xdr:row>
      <xdr:rowOff>167640</xdr:rowOff>
    </xdr:to>
    <xdr:sp macro="" textlink="">
      <xdr:nvSpPr>
        <xdr:cNvPr id="183" name="Arrow: Curved Up 182">
          <a:extLst>
            <a:ext uri="{FF2B5EF4-FFF2-40B4-BE49-F238E27FC236}">
              <a16:creationId xmlns:a16="http://schemas.microsoft.com/office/drawing/2014/main" id="{B3C2575F-20DC-440A-A024-567D739480CD}"/>
            </a:ext>
          </a:extLst>
        </xdr:cNvPr>
        <xdr:cNvSpPr/>
      </xdr:nvSpPr>
      <xdr:spPr>
        <a:xfrm rot="16200000">
          <a:off x="9422130" y="1116916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0</xdr:colOff>
      <xdr:row>8</xdr:row>
      <xdr:rowOff>0</xdr:rowOff>
    </xdr:from>
    <xdr:to>
      <xdr:col>14</xdr:col>
      <xdr:colOff>114300</xdr:colOff>
      <xdr:row>8</xdr:row>
      <xdr:rowOff>167640</xdr:rowOff>
    </xdr:to>
    <xdr:sp macro="" textlink="">
      <xdr:nvSpPr>
        <xdr:cNvPr id="184" name="Arrow: Curved Up 183">
          <a:extLst>
            <a:ext uri="{FF2B5EF4-FFF2-40B4-BE49-F238E27FC236}">
              <a16:creationId xmlns:a16="http://schemas.microsoft.com/office/drawing/2014/main" id="{22B839D3-2A16-4201-A14B-027D031B801C}"/>
            </a:ext>
          </a:extLst>
        </xdr:cNvPr>
        <xdr:cNvSpPr/>
      </xdr:nvSpPr>
      <xdr:spPr>
        <a:xfrm rot="16200000">
          <a:off x="9422130" y="1480332"/>
          <a:ext cx="167640" cy="11430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14</xdr:col>
      <xdr:colOff>106680</xdr:colOff>
      <xdr:row>7</xdr:row>
      <xdr:rowOff>166468</xdr:rowOff>
    </xdr:to>
    <xdr:sp macro="" textlink="">
      <xdr:nvSpPr>
        <xdr:cNvPr id="185" name="Arrow: Curved Up 184">
          <a:extLst>
            <a:ext uri="{FF2B5EF4-FFF2-40B4-BE49-F238E27FC236}">
              <a16:creationId xmlns:a16="http://schemas.microsoft.com/office/drawing/2014/main" id="{AA1A19EF-DB50-45DA-B551-D4B203D6DAEE}"/>
            </a:ext>
          </a:extLst>
        </xdr:cNvPr>
        <xdr:cNvSpPr/>
      </xdr:nvSpPr>
      <xdr:spPr>
        <a:xfrm rot="16200000" flipH="1">
          <a:off x="9418906" y="1301848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0</xdr:colOff>
      <xdr:row>9</xdr:row>
      <xdr:rowOff>0</xdr:rowOff>
    </xdr:from>
    <xdr:to>
      <xdr:col>14</xdr:col>
      <xdr:colOff>106680</xdr:colOff>
      <xdr:row>9</xdr:row>
      <xdr:rowOff>166468</xdr:rowOff>
    </xdr:to>
    <xdr:sp macro="" textlink="">
      <xdr:nvSpPr>
        <xdr:cNvPr id="186" name="Arrow: Curved Up 185">
          <a:extLst>
            <a:ext uri="{FF2B5EF4-FFF2-40B4-BE49-F238E27FC236}">
              <a16:creationId xmlns:a16="http://schemas.microsoft.com/office/drawing/2014/main" id="{F1CCF6A9-2FE5-4956-88AD-4F5513AC1345}"/>
            </a:ext>
          </a:extLst>
        </xdr:cNvPr>
        <xdr:cNvSpPr/>
      </xdr:nvSpPr>
      <xdr:spPr>
        <a:xfrm rot="16200000" flipH="1">
          <a:off x="9418906" y="1665263"/>
          <a:ext cx="166468" cy="106680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169984</xdr:colOff>
      <xdr:row>2</xdr:row>
      <xdr:rowOff>99647</xdr:rowOff>
    </xdr:from>
    <xdr:to>
      <xdr:col>11</xdr:col>
      <xdr:colOff>592014</xdr:colOff>
      <xdr:row>4</xdr:row>
      <xdr:rowOff>114887</xdr:rowOff>
    </xdr:to>
    <xdr:grpSp>
      <xdr:nvGrpSpPr>
        <xdr:cNvPr id="187" name="Group 186">
          <a:extLst>
            <a:ext uri="{FF2B5EF4-FFF2-40B4-BE49-F238E27FC236}">
              <a16:creationId xmlns:a16="http://schemas.microsoft.com/office/drawing/2014/main" id="{E707411E-5C1C-45F3-B271-026F82D55292}"/>
            </a:ext>
          </a:extLst>
        </xdr:cNvPr>
        <xdr:cNvGrpSpPr/>
      </xdr:nvGrpSpPr>
      <xdr:grpSpPr>
        <a:xfrm>
          <a:off x="7934764" y="465407"/>
          <a:ext cx="383930" cy="381000"/>
          <a:chOff x="1693985" y="386275"/>
          <a:chExt cx="422030" cy="378656"/>
        </a:xfrm>
      </xdr:grpSpPr>
      <xdr:grpSp>
        <xdr:nvGrpSpPr>
          <xdr:cNvPr id="188" name="Group 187">
            <a:extLst>
              <a:ext uri="{FF2B5EF4-FFF2-40B4-BE49-F238E27FC236}">
                <a16:creationId xmlns:a16="http://schemas.microsoft.com/office/drawing/2014/main" id="{3F4C14DA-1832-44E3-07E3-2C0EDDC29DBE}"/>
              </a:ext>
            </a:extLst>
          </xdr:cNvPr>
          <xdr:cNvGrpSpPr/>
        </xdr:nvGrpSpPr>
        <xdr:grpSpPr>
          <a:xfrm>
            <a:off x="1693985" y="386275"/>
            <a:ext cx="422030" cy="378656"/>
            <a:chOff x="3535680" y="868680"/>
            <a:chExt cx="457200" cy="381000"/>
          </a:xfrm>
        </xdr:grpSpPr>
        <xdr:sp macro="" textlink="">
          <xdr:nvSpPr>
            <xdr:cNvPr id="191" name="Hexagon 190">
              <a:extLst>
                <a:ext uri="{FF2B5EF4-FFF2-40B4-BE49-F238E27FC236}">
                  <a16:creationId xmlns:a16="http://schemas.microsoft.com/office/drawing/2014/main" id="{20A583BA-0765-703A-255A-671898E9276B}"/>
                </a:ext>
              </a:extLst>
            </xdr:cNvPr>
            <xdr:cNvSpPr/>
          </xdr:nvSpPr>
          <xdr:spPr>
            <a:xfrm>
              <a:off x="3581400" y="86868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92" name="Hexagon 191">
              <a:extLst>
                <a:ext uri="{FF2B5EF4-FFF2-40B4-BE49-F238E27FC236}">
                  <a16:creationId xmlns:a16="http://schemas.microsoft.com/office/drawing/2014/main" id="{A1142E3E-BDAD-2079-6398-1D546D2FD2CB}"/>
                </a:ext>
              </a:extLst>
            </xdr:cNvPr>
            <xdr:cNvSpPr/>
          </xdr:nvSpPr>
          <xdr:spPr>
            <a:xfrm>
              <a:off x="3535680" y="89916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189" name="Flowchart: Connector 188">
            <a:extLst>
              <a:ext uri="{FF2B5EF4-FFF2-40B4-BE49-F238E27FC236}">
                <a16:creationId xmlns:a16="http://schemas.microsoft.com/office/drawing/2014/main" id="{7FA61323-C67C-4C5D-6A8F-CBD26F33C9AE}"/>
              </a:ext>
            </a:extLst>
          </xdr:cNvPr>
          <xdr:cNvSpPr/>
        </xdr:nvSpPr>
        <xdr:spPr>
          <a:xfrm>
            <a:off x="1746738" y="574431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90" name="Flowchart: Connector 189">
            <a:extLst>
              <a:ext uri="{FF2B5EF4-FFF2-40B4-BE49-F238E27FC236}">
                <a16:creationId xmlns:a16="http://schemas.microsoft.com/office/drawing/2014/main" id="{5BD9E260-4260-D5AF-7502-7CE6E7E7C226}"/>
              </a:ext>
            </a:extLst>
          </xdr:cNvPr>
          <xdr:cNvSpPr/>
        </xdr:nvSpPr>
        <xdr:spPr>
          <a:xfrm>
            <a:off x="1793631" y="668216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11</xdr:col>
      <xdr:colOff>17585</xdr:colOff>
      <xdr:row>3</xdr:row>
      <xdr:rowOff>58615</xdr:rowOff>
    </xdr:from>
    <xdr:to>
      <xdr:col>11</xdr:col>
      <xdr:colOff>123092</xdr:colOff>
      <xdr:row>4</xdr:row>
      <xdr:rowOff>64477</xdr:rowOff>
    </xdr:to>
    <xdr:sp macro="" textlink="">
      <xdr:nvSpPr>
        <xdr:cNvPr id="193" name="Arrow: Down 192">
          <a:extLst>
            <a:ext uri="{FF2B5EF4-FFF2-40B4-BE49-F238E27FC236}">
              <a16:creationId xmlns:a16="http://schemas.microsoft.com/office/drawing/2014/main" id="{BCE4B5AD-1C28-81F8-BAE6-5C87F87AF310}"/>
            </a:ext>
          </a:extLst>
        </xdr:cNvPr>
        <xdr:cNvSpPr/>
      </xdr:nvSpPr>
      <xdr:spPr>
        <a:xfrm>
          <a:off x="7637585" y="603738"/>
          <a:ext cx="105507" cy="1875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93786</xdr:colOff>
      <xdr:row>2</xdr:row>
      <xdr:rowOff>99641</xdr:rowOff>
    </xdr:from>
    <xdr:to>
      <xdr:col>13</xdr:col>
      <xdr:colOff>515816</xdr:colOff>
      <xdr:row>4</xdr:row>
      <xdr:rowOff>114881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356F71CC-FB56-4AD3-8508-BE0FD16CC08C}"/>
            </a:ext>
          </a:extLst>
        </xdr:cNvPr>
        <xdr:cNvGrpSpPr/>
      </xdr:nvGrpSpPr>
      <xdr:grpSpPr>
        <a:xfrm>
          <a:off x="9138726" y="465401"/>
          <a:ext cx="422030" cy="381000"/>
          <a:chOff x="1693985" y="386275"/>
          <a:chExt cx="422030" cy="378656"/>
        </a:xfrm>
      </xdr:grpSpPr>
      <xdr:grpSp>
        <xdr:nvGrpSpPr>
          <xdr:cNvPr id="195" name="Group 194">
            <a:extLst>
              <a:ext uri="{FF2B5EF4-FFF2-40B4-BE49-F238E27FC236}">
                <a16:creationId xmlns:a16="http://schemas.microsoft.com/office/drawing/2014/main" id="{74EB3447-9CDF-A28C-30C5-4C6D7298CA11}"/>
              </a:ext>
            </a:extLst>
          </xdr:cNvPr>
          <xdr:cNvGrpSpPr/>
        </xdr:nvGrpSpPr>
        <xdr:grpSpPr>
          <a:xfrm>
            <a:off x="1693985" y="386275"/>
            <a:ext cx="422030" cy="378656"/>
            <a:chOff x="3535680" y="868680"/>
            <a:chExt cx="457200" cy="381000"/>
          </a:xfrm>
        </xdr:grpSpPr>
        <xdr:sp macro="" textlink="">
          <xdr:nvSpPr>
            <xdr:cNvPr id="198" name="Hexagon 197">
              <a:extLst>
                <a:ext uri="{FF2B5EF4-FFF2-40B4-BE49-F238E27FC236}">
                  <a16:creationId xmlns:a16="http://schemas.microsoft.com/office/drawing/2014/main" id="{33789B11-2B45-4541-5E7D-CC8771C4BEF5}"/>
                </a:ext>
              </a:extLst>
            </xdr:cNvPr>
            <xdr:cNvSpPr/>
          </xdr:nvSpPr>
          <xdr:spPr>
            <a:xfrm>
              <a:off x="3581400" y="86868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99" name="Hexagon 198">
              <a:extLst>
                <a:ext uri="{FF2B5EF4-FFF2-40B4-BE49-F238E27FC236}">
                  <a16:creationId xmlns:a16="http://schemas.microsoft.com/office/drawing/2014/main" id="{CDE67C06-87CA-12D4-86C9-74CD6320D288}"/>
                </a:ext>
              </a:extLst>
            </xdr:cNvPr>
            <xdr:cNvSpPr/>
          </xdr:nvSpPr>
          <xdr:spPr>
            <a:xfrm>
              <a:off x="3535680" y="899160"/>
              <a:ext cx="411480" cy="350520"/>
            </a:xfrm>
            <a:prstGeom prst="hexag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196" name="Flowchart: Connector 195">
            <a:extLst>
              <a:ext uri="{FF2B5EF4-FFF2-40B4-BE49-F238E27FC236}">
                <a16:creationId xmlns:a16="http://schemas.microsoft.com/office/drawing/2014/main" id="{F5F31E12-125C-E92F-277D-586B0762F763}"/>
              </a:ext>
            </a:extLst>
          </xdr:cNvPr>
          <xdr:cNvSpPr/>
        </xdr:nvSpPr>
        <xdr:spPr>
          <a:xfrm>
            <a:off x="1746738" y="574431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97" name="Flowchart: Connector 196">
            <a:extLst>
              <a:ext uri="{FF2B5EF4-FFF2-40B4-BE49-F238E27FC236}">
                <a16:creationId xmlns:a16="http://schemas.microsoft.com/office/drawing/2014/main" id="{1CDE55B6-7C23-CD40-12F2-4A852A1F8FE1}"/>
              </a:ext>
            </a:extLst>
          </xdr:cNvPr>
          <xdr:cNvSpPr/>
        </xdr:nvSpPr>
        <xdr:spPr>
          <a:xfrm>
            <a:off x="1793631" y="668216"/>
            <a:ext cx="45719" cy="52754"/>
          </a:xfrm>
          <a:prstGeom prst="flowChartConnector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13</xdr:col>
      <xdr:colOff>504094</xdr:colOff>
      <xdr:row>2</xdr:row>
      <xdr:rowOff>29301</xdr:rowOff>
    </xdr:from>
    <xdr:to>
      <xdr:col>14</xdr:col>
      <xdr:colOff>1</xdr:colOff>
      <xdr:row>3</xdr:row>
      <xdr:rowOff>35163</xdr:rowOff>
    </xdr:to>
    <xdr:sp macro="" textlink="">
      <xdr:nvSpPr>
        <xdr:cNvPr id="200" name="Arrow: Down 199">
          <a:extLst>
            <a:ext uri="{FF2B5EF4-FFF2-40B4-BE49-F238E27FC236}">
              <a16:creationId xmlns:a16="http://schemas.microsoft.com/office/drawing/2014/main" id="{423F165C-9F03-4343-B720-9C33220120F6}"/>
            </a:ext>
          </a:extLst>
        </xdr:cNvPr>
        <xdr:cNvSpPr/>
      </xdr:nvSpPr>
      <xdr:spPr>
        <a:xfrm>
          <a:off x="9343294" y="392716"/>
          <a:ext cx="105507" cy="1875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580292</xdr:colOff>
      <xdr:row>2</xdr:row>
      <xdr:rowOff>23447</xdr:rowOff>
    </xdr:from>
    <xdr:to>
      <xdr:col>12</xdr:col>
      <xdr:colOff>76200</xdr:colOff>
      <xdr:row>3</xdr:row>
      <xdr:rowOff>11723</xdr:rowOff>
    </xdr:to>
    <xdr:sp macro="" textlink="">
      <xdr:nvSpPr>
        <xdr:cNvPr id="202" name="Arrow: Up 201">
          <a:extLst>
            <a:ext uri="{FF2B5EF4-FFF2-40B4-BE49-F238E27FC236}">
              <a16:creationId xmlns:a16="http://schemas.microsoft.com/office/drawing/2014/main" id="{D9496799-FB35-6469-001C-D83A425A345D}"/>
            </a:ext>
          </a:extLst>
        </xdr:cNvPr>
        <xdr:cNvSpPr/>
      </xdr:nvSpPr>
      <xdr:spPr>
        <a:xfrm>
          <a:off x="8200292" y="386862"/>
          <a:ext cx="105508" cy="169984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592015</xdr:colOff>
      <xdr:row>3</xdr:row>
      <xdr:rowOff>140677</xdr:rowOff>
    </xdr:from>
    <xdr:to>
      <xdr:col>13</xdr:col>
      <xdr:colOff>87923</xdr:colOff>
      <xdr:row>4</xdr:row>
      <xdr:rowOff>128953</xdr:rowOff>
    </xdr:to>
    <xdr:sp macro="" textlink="">
      <xdr:nvSpPr>
        <xdr:cNvPr id="203" name="Arrow: Up 202">
          <a:extLst>
            <a:ext uri="{FF2B5EF4-FFF2-40B4-BE49-F238E27FC236}">
              <a16:creationId xmlns:a16="http://schemas.microsoft.com/office/drawing/2014/main" id="{F2EC1568-1B69-4FBB-B870-C8A70C0439D6}"/>
            </a:ext>
          </a:extLst>
        </xdr:cNvPr>
        <xdr:cNvSpPr/>
      </xdr:nvSpPr>
      <xdr:spPr>
        <a:xfrm>
          <a:off x="8821615" y="685800"/>
          <a:ext cx="105508" cy="169984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lfy3808/Downloads/SpiderHex%20project.xlsx" TargetMode="External"/><Relationship Id="rId2" Type="http://schemas.openxmlformats.org/officeDocument/2006/relationships/externalLinkPath" Target="file:///C:\Users\dlfy3808\Downloads\SpiderHex%20project.xlsx" TargetMode="External"/><Relationship Id="rId1" Type="http://schemas.openxmlformats.org/officeDocument/2006/relationships/externalLinkPath" Target="/Users/dlfy3808/Downloads/SpiderHex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tus"/>
      <sheetName val="Project Timeline"/>
      <sheetName val="Component List"/>
      <sheetName val="Sheet3"/>
      <sheetName val="SpiderHex project"/>
    </sheetNames>
    <sheetDataSet>
      <sheetData sheetId="0"/>
      <sheetData sheetId="1">
        <row r="1">
          <cell r="H1" t="str">
            <v>Progress</v>
          </cell>
        </row>
      </sheetData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6E8C17-4B43-4998-8580-21ECE7788B4E}" name="Timeline" displayName="Timeline" ref="A3:K23" totalsRowShown="0" headerRowDxfId="62" headerRowBorderDxfId="61" tableBorderDxfId="60" totalsRowBorderDxfId="59">
  <autoFilter ref="A3:K23" xr:uid="{476E8C17-4B43-4998-8580-21ECE7788B4E}"/>
  <tableColumns count="11">
    <tableColumn id="1" xr3:uid="{FCA680F6-DCC2-4ABD-A878-7306391D0B5C}" name="S.No" dataDxfId="58"/>
    <tableColumn id="2" xr3:uid="{03B6D657-E088-49D5-B9E5-BC1640140829}" name="Task" dataDxfId="57"/>
    <tableColumn id="3" xr3:uid="{6D1D947F-F442-4E46-B548-2B6735951205}" name="Days" dataDxfId="56"/>
    <tableColumn id="4" xr3:uid="{4E302A42-479A-4721-9478-1CB00B52FCF7}" name="Start Date" dataDxfId="55"/>
    <tableColumn id="5" xr3:uid="{27814294-5D4B-4BFD-A86E-D991C50D72AE}" name="Target Date" dataDxfId="54"/>
    <tableColumn id="10" xr3:uid="{E1A38135-C6A0-42EF-AF4C-8FA1D22A6DE6}" name="Completion Date" dataDxfId="53"/>
    <tableColumn id="11" xr3:uid="{9667C134-A96F-4DAE-8F0A-B54697136B4F}" name="Complete %" dataDxfId="52"/>
    <tableColumn id="6" xr3:uid="{8FB57CF9-7614-482A-9AD4-7ECE964A2CDE}" name="Contributor" dataDxfId="51"/>
    <tableColumn id="7" xr3:uid="{85749439-6C82-49DA-A169-63D3C166B3F7}" name="Dependency" dataDxfId="50"/>
    <tableColumn id="8" xr3:uid="{6F0BF78A-B8F3-402B-A044-36C39329F67F}" name="Status" dataDxfId="49"/>
    <tableColumn id="9" xr3:uid="{74C513D1-B2CF-4CC4-B556-EF7CBBD90999}" name="Remark" dataDxfId="4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9399D4-6385-427F-A2A5-C445A7E4A062}" name="Table4" displayName="Table4" ref="A6:O20" totalsRowShown="0">
  <autoFilter ref="A6:O20" xr:uid="{F79399D4-6385-427F-A2A5-C445A7E4A062}"/>
  <tableColumns count="15">
    <tableColumn id="1" xr3:uid="{C86FD0D2-E41F-4B5A-9D60-8833A318C547}" name="GAIT-CYCLE"/>
    <tableColumn id="2" xr3:uid="{150FA315-03C3-4FAE-87CB-6414A87D5BA3}" name="Back" dataDxfId="47"/>
    <tableColumn id="3" xr3:uid="{8DB1D110-96E5-4CE9-9452-FAC643123148}" name="Rotation"/>
    <tableColumn id="4" xr3:uid="{5A00A48C-1923-4CA5-9267-BEE6C486699D}" name="Forward" dataDxfId="46"/>
    <tableColumn id="5" xr3:uid="{E9154A54-0ADF-423E-8150-F6559F3355AE}" name="Rotation2"/>
    <tableColumn id="6" xr3:uid="{7DDB3B88-2BCA-4067-A576-180727414B7F}" name="TURN-LOGIC"/>
    <tableColumn id="7" xr3:uid="{79DD0E09-23E5-4866-9871-9FC947231465}" name="Right" dataDxfId="45"/>
    <tableColumn id="8" xr3:uid="{2D271BD6-BF7F-47CF-A276-829BAB3169FE}" name="Rotation3"/>
    <tableColumn id="9" xr3:uid="{A3C25574-DC0F-43B1-BA26-C202670EA798}" name="Left" dataDxfId="44"/>
    <tableColumn id="10" xr3:uid="{31971AEC-1561-4B10-84DD-CC3E5D32685A}" name="Rotation4"/>
    <tableColumn id="11" xr3:uid="{6A92155A-0979-4D42-9A59-649F094B995C}" name="Pitch"/>
    <tableColumn id="12" xr3:uid="{6DC2BF5D-4E02-4E25-86AC-8D3E1C0C3550}" name="Down"/>
    <tableColumn id="13" xr3:uid="{9E361DFF-DF76-4675-8DFF-6DBC5CBE7EE4}" name="Rotation5"/>
    <tableColumn id="14" xr3:uid="{7E73C11F-8611-4690-91CB-DC561988F880}" name="Up"/>
    <tableColumn id="15" xr3:uid="{9E262CD6-746B-4787-8748-CDBA55E409A1}" name="Rotation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3A2F53-252C-44D3-A1E2-17E83832C1FA}" name="CompList" displayName="CompList" ref="A2:M16" totalsRowShown="0" headerRowDxfId="43">
  <autoFilter ref="A2:M16" xr:uid="{6F3A2F53-252C-44D3-A1E2-17E83832C1FA}"/>
  <sortState xmlns:xlrd2="http://schemas.microsoft.com/office/spreadsheetml/2017/richdata2" ref="A3:M12">
    <sortCondition ref="D2:D12"/>
  </sortState>
  <tableColumns count="13">
    <tableColumn id="1" xr3:uid="{C21632F5-0205-420B-9145-F6164CD6FBBF}" name="S.No" dataDxfId="42"/>
    <tableColumn id="2" xr3:uid="{16624533-DA14-439B-A911-CF251EA3F592}" name="Item" dataDxfId="41"/>
    <tableColumn id="3" xr3:uid="{AF8363BC-C55C-46EB-8FD3-F8AEB1CB7071}" name="Use" dataDxfId="40"/>
    <tableColumn id="4" xr3:uid="{E9407395-0353-44AA-8733-B5EA54854DF4}" name="Available" dataDxfId="39"/>
    <tableColumn id="5" xr3:uid="{ED5428C9-0035-406B-94C6-50361F466367}" name="Qty" dataDxfId="38"/>
    <tableColumn id="6" xr3:uid="{438D4AFE-6095-437E-BEF3-2E19ABE98F25}" name="Unit Cost (Approx)" dataDxfId="37"/>
    <tableColumn id="7" xr3:uid="{8EFDA1EB-2312-4618-BC18-67B14470C00A}" name="Max Unit Cost" dataDxfId="36"/>
    <tableColumn id="8" xr3:uid="{5A4B6E00-AB8F-498F-85B7-DC3F579498BC}" name="Estimated Cost" dataDxfId="35">
      <calculatedColumnFormula>E3*G3</calculatedColumnFormula>
    </tableColumn>
    <tableColumn id="9" xr3:uid="{8A8A5FB9-3BE8-4786-81D4-0289389DD028}" name="Unit cost (Purchased)" dataDxfId="34"/>
    <tableColumn id="16" xr3:uid="{14715D43-A2FD-4690-9794-C51639696F77}" name="Purchased" dataDxfId="33">
      <calculatedColumnFormula>I3*E3</calculatedColumnFormula>
    </tableColumn>
    <tableColumn id="15" xr3:uid="{8155E138-BBCD-4B9D-8C74-A94491ECE643}" name="Unit Cost" dataDxfId="32"/>
    <tableColumn id="14" xr3:uid="{C101B031-4EA8-4FC9-967D-D82E252A09A6}" name="College provided" dataDxfId="31">
      <calculatedColumnFormula>E3*K3</calculatedColumnFormula>
    </tableColumn>
    <tableColumn id="10" xr3:uid="{1D77416A-0541-4D82-8320-7EC33E287B7F}" name="Actual Cost (with 18% GST)" dataDxfId="30">
      <calculatedColumnFormula>J3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AFF72E-6DEC-4B9A-89C2-D16423DCA430}" name="FutureComp" displayName="FutureComp" ref="A20:M29" totalsRowShown="0" headerRowDxfId="29" headerRowBorderDxfId="28" tableBorderDxfId="27" totalsRowBorderDxfId="26">
  <autoFilter ref="A20:M29" xr:uid="{86AFF72E-6DEC-4B9A-89C2-D16423DCA430}"/>
  <tableColumns count="13">
    <tableColumn id="1" xr3:uid="{A2254122-9602-40BD-8183-B7D4CC2541DD}" name="S.No" dataDxfId="25"/>
    <tableColumn id="2" xr3:uid="{1A6CD501-B182-43E8-B01E-58E9D91419C7}" name="Item" dataDxfId="24"/>
    <tableColumn id="3" xr3:uid="{6281EC0A-37C5-4191-8195-8F5ADE952C8E}" name="Use" dataDxfId="23"/>
    <tableColumn id="4" xr3:uid="{16D892F4-38A7-4F43-BF0C-A241F6F82490}" name="Available" dataDxfId="22"/>
    <tableColumn id="5" xr3:uid="{49616072-737C-4792-8F3C-0914E1630EE4}" name="Qty" dataDxfId="21"/>
    <tableColumn id="6" xr3:uid="{14F1D40C-AB59-4B35-8A0A-0C94D3828FBF}" name="Unit Cost (Approx)" dataDxfId="20"/>
    <tableColumn id="7" xr3:uid="{40256C45-5404-4E91-916C-C3C82F74A3E1}" name="Max Unit Cost" dataDxfId="19"/>
    <tableColumn id="8" xr3:uid="{B408F4EC-4FB8-4BE0-8F90-D42BDE8DF6B1}" name="Estimated Total Cost" dataDxfId="18">
      <calculatedColumnFormula>E21*G21</calculatedColumnFormula>
    </tableColumn>
    <tableColumn id="9" xr3:uid="{0EB14A6C-0B9B-402D-9137-A43DE570E37E}" name="Visha World cost" dataDxfId="17"/>
    <tableColumn id="10" xr3:uid="{D1664777-CAFC-4AF3-9A3A-054161638795}" name="Visha World Total Cost" dataDxfId="16"/>
    <tableColumn id="13" xr3:uid="{79EBAA1D-F1A4-4DB4-B195-6142A5DA5056}" name="Unit Cost (College provided )" dataDxfId="15"/>
    <tableColumn id="14" xr3:uid="{BDDD76D2-8152-4204-98A9-E17A484E8E6D}" name="College provided Components" dataDxfId="14"/>
    <tableColumn id="11" xr3:uid="{EF753644-0DB3-4CC5-99EB-5D0C942A5DA3}" name="General Cost" dataDxfId="13">
      <calculatedColumnFormula>J21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F1BD94-3EC1-4272-8532-1C84BBC1A480}" name="Trial_and_Error" displayName="Trial_and_Error" ref="A1:D13" totalsRowShown="0">
  <autoFilter ref="A1:D13" xr:uid="{34F1BD94-3EC1-4272-8532-1C84BBC1A480}"/>
  <tableColumns count="4">
    <tableColumn id="1" xr3:uid="{0AB2C706-C3AE-4AEB-B2BB-7CDB2AC0834E}" name="Sr. No."/>
    <tableColumn id="2" xr3:uid="{A45EA864-F179-4E9A-B4DD-985037A9EFB1}" name="Error Remark"/>
    <tableColumn id="3" xr3:uid="{B6565E22-7208-4383-B74B-D85B0E27D9EA}" name="Status"/>
    <tableColumn id="4" xr3:uid="{21C109CB-F3CB-43BF-A0F1-32D858A12897}" name="Remark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18E38-CD79-41B9-8472-BC12080DCD43}" name="Table1" displayName="Table1" ref="A1:B10" totalsRowShown="0" headerRowDxfId="12" dataDxfId="11">
  <autoFilter ref="A1:B10" xr:uid="{4BD18E38-CD79-41B9-8472-BC12080DCD43}"/>
  <tableColumns count="2">
    <tableColumn id="1" xr3:uid="{B273F8A3-CADB-4926-8F84-38C67D662571}" name="Status" dataDxfId="10"/>
    <tableColumn id="2" xr3:uid="{498809A2-6B96-4208-98E5-9503E8BA5C60}" name="Hex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6EAF-AFB8-46BC-81B1-2F4CBD78D62D}">
  <dimension ref="A1"/>
  <sheetViews>
    <sheetView showGridLines="0" tabSelected="1" topLeftCell="A15" zoomScale="90" zoomScaleNormal="90" workbookViewId="0">
      <selection activeCell="T8" sqref="T8"/>
    </sheetView>
  </sheetViews>
  <sheetFormatPr defaultRowHeight="14.4" x14ac:dyDescent="0.3"/>
  <sheetData/>
  <pageMargins left="0.7" right="0.7" top="0.75" bottom="0.75" header="0.3" footer="0.3"/>
  <pageSetup orientation="portrait" r:id="rId1"/>
  <headerFooter>
    <oddFooter>&amp;C_x000D_&amp;1#&amp;"Helvetica 75 Bold"&amp;8&amp;KED7D31 Orange 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3B51-5BA1-4B4D-AD71-5F2F3F5ADBAF}">
  <dimension ref="A1:B11"/>
  <sheetViews>
    <sheetView workbookViewId="0">
      <selection activeCell="B12" sqref="B12"/>
    </sheetView>
  </sheetViews>
  <sheetFormatPr defaultRowHeight="14.4" x14ac:dyDescent="0.3"/>
  <cols>
    <col min="1" max="1" width="12.6640625" bestFit="1" customWidth="1"/>
  </cols>
  <sheetData>
    <row r="1" spans="1:2" x14ac:dyDescent="0.3">
      <c r="A1" t="s">
        <v>221</v>
      </c>
      <c r="B1" t="s">
        <v>222</v>
      </c>
    </row>
    <row r="2" spans="1:2" x14ac:dyDescent="0.3">
      <c r="A2" t="s">
        <v>223</v>
      </c>
      <c r="B2">
        <v>10</v>
      </c>
    </row>
    <row r="3" spans="1:2" x14ac:dyDescent="0.3">
      <c r="A3" t="s">
        <v>224</v>
      </c>
      <c r="B3">
        <v>10</v>
      </c>
    </row>
    <row r="4" spans="1:2" x14ac:dyDescent="0.3">
      <c r="A4" t="s">
        <v>225</v>
      </c>
      <c r="B4">
        <v>9</v>
      </c>
    </row>
    <row r="5" spans="1:2" x14ac:dyDescent="0.3">
      <c r="A5" t="s">
        <v>226</v>
      </c>
      <c r="B5">
        <v>84</v>
      </c>
    </row>
    <row r="6" spans="1:2" x14ac:dyDescent="0.3">
      <c r="A6" t="s">
        <v>228</v>
      </c>
      <c r="B6">
        <v>72</v>
      </c>
    </row>
    <row r="7" spans="1:2" x14ac:dyDescent="0.3">
      <c r="A7" t="s">
        <v>229</v>
      </c>
      <c r="B7">
        <v>52</v>
      </c>
    </row>
    <row r="8" spans="1:2" x14ac:dyDescent="0.3">
      <c r="A8" t="s">
        <v>220</v>
      </c>
      <c r="B8">
        <v>100</v>
      </c>
    </row>
    <row r="9" spans="1:2" x14ac:dyDescent="0.3">
      <c r="A9" t="s">
        <v>230</v>
      </c>
      <c r="B9">
        <v>80</v>
      </c>
    </row>
    <row r="10" spans="1:2" x14ac:dyDescent="0.3">
      <c r="A10" t="s">
        <v>227</v>
      </c>
      <c r="B10">
        <v>35</v>
      </c>
    </row>
    <row r="11" spans="1:2" x14ac:dyDescent="0.3">
      <c r="A11" t="s">
        <v>56</v>
      </c>
      <c r="B11">
        <f>SUM(B2:B10)</f>
        <v>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9661-B54D-43E6-BC6C-9E117F84A0F6}">
  <dimension ref="A1:K23"/>
  <sheetViews>
    <sheetView workbookViewId="0">
      <selection sqref="A1:K23"/>
    </sheetView>
  </sheetViews>
  <sheetFormatPr defaultRowHeight="14.4" x14ac:dyDescent="0.3"/>
  <cols>
    <col min="1" max="1" width="7.33203125" bestFit="1" customWidth="1"/>
    <col min="2" max="2" width="30.5546875" bestFit="1" customWidth="1"/>
    <col min="3" max="3" width="14.5546875" bestFit="1" customWidth="1"/>
    <col min="4" max="4" width="11.6640625" bestFit="1" customWidth="1"/>
    <col min="5" max="5" width="12.88671875" bestFit="1" customWidth="1"/>
    <col min="6" max="6" width="14.33203125" bestFit="1" customWidth="1"/>
    <col min="7" max="7" width="13.109375" bestFit="1" customWidth="1"/>
    <col min="8" max="8" width="30.88671875" bestFit="1" customWidth="1"/>
    <col min="9" max="9" width="13.21875" bestFit="1" customWidth="1"/>
    <col min="10" max="10" width="19.6640625" customWidth="1"/>
    <col min="11" max="11" width="32.77734375" bestFit="1" customWidth="1"/>
  </cols>
  <sheetData>
    <row r="1" spans="1:11" x14ac:dyDescent="0.3">
      <c r="A1" s="14" t="s">
        <v>60</v>
      </c>
      <c r="B1" s="15" t="s">
        <v>93</v>
      </c>
      <c r="C1" s="14" t="s">
        <v>0</v>
      </c>
      <c r="D1" s="17" t="s">
        <v>164</v>
      </c>
      <c r="E1" s="14"/>
      <c r="F1" s="14"/>
      <c r="G1" s="14"/>
      <c r="H1" s="14"/>
      <c r="I1" s="14" t="s">
        <v>162</v>
      </c>
      <c r="J1" s="38">
        <f>AVERAGE(Timeline[Complete %])</f>
        <v>0.7310526315789474</v>
      </c>
      <c r="K1" s="34"/>
    </row>
    <row r="2" spans="1:11" x14ac:dyDescent="0.3">
      <c r="A2" s="14" t="s">
        <v>59</v>
      </c>
      <c r="B2" s="16">
        <v>46022</v>
      </c>
      <c r="C2" s="14" t="s">
        <v>165</v>
      </c>
      <c r="D2" s="16">
        <v>46027</v>
      </c>
      <c r="E2" s="14"/>
      <c r="F2" s="14"/>
      <c r="G2" s="14"/>
      <c r="H2" s="14"/>
      <c r="I2" s="14" t="s">
        <v>163</v>
      </c>
      <c r="J2" s="39">
        <f>ROUND(100%-J1,2)</f>
        <v>0.27</v>
      </c>
      <c r="K2" s="14"/>
    </row>
    <row r="3" spans="1:11" x14ac:dyDescent="0.3">
      <c r="A3" s="8" t="s">
        <v>3</v>
      </c>
      <c r="B3" s="9" t="s">
        <v>1</v>
      </c>
      <c r="C3" s="9" t="s">
        <v>2</v>
      </c>
      <c r="D3" s="9" t="s">
        <v>62</v>
      </c>
      <c r="E3" s="9" t="s">
        <v>61</v>
      </c>
      <c r="F3" s="9" t="s">
        <v>111</v>
      </c>
      <c r="G3" s="9" t="s">
        <v>166</v>
      </c>
      <c r="H3" s="9" t="s">
        <v>92</v>
      </c>
      <c r="I3" s="9" t="s">
        <v>63</v>
      </c>
      <c r="J3" s="9" t="s">
        <v>58</v>
      </c>
      <c r="K3" s="10" t="s">
        <v>54</v>
      </c>
    </row>
    <row r="4" spans="1:11" x14ac:dyDescent="0.3">
      <c r="A4" s="5">
        <v>1</v>
      </c>
      <c r="B4" s="1" t="s">
        <v>5</v>
      </c>
      <c r="C4" s="1">
        <v>1</v>
      </c>
      <c r="D4" s="2">
        <v>45995</v>
      </c>
      <c r="E4" s="2">
        <v>45995</v>
      </c>
      <c r="F4" s="2">
        <v>45995</v>
      </c>
      <c r="G4" s="27">
        <v>1</v>
      </c>
      <c r="H4" s="2" t="s">
        <v>84</v>
      </c>
      <c r="I4" s="2"/>
      <c r="J4" s="2" t="s">
        <v>78</v>
      </c>
      <c r="K4" s="6"/>
    </row>
    <row r="5" spans="1:11" x14ac:dyDescent="0.3">
      <c r="A5" s="5">
        <v>2</v>
      </c>
      <c r="B5" s="1" t="s">
        <v>4</v>
      </c>
      <c r="C5" s="1">
        <v>1</v>
      </c>
      <c r="D5" s="2">
        <v>45997</v>
      </c>
      <c r="E5" s="2">
        <v>45997</v>
      </c>
      <c r="F5" s="2">
        <v>45997</v>
      </c>
      <c r="G5" s="27">
        <v>1</v>
      </c>
      <c r="H5" s="2" t="s">
        <v>89</v>
      </c>
      <c r="I5" s="2"/>
      <c r="J5" s="2" t="s">
        <v>78</v>
      </c>
      <c r="K5" s="6"/>
    </row>
    <row r="6" spans="1:11" x14ac:dyDescent="0.3">
      <c r="A6" s="5">
        <v>3</v>
      </c>
      <c r="B6" s="1" t="s">
        <v>6</v>
      </c>
      <c r="C6" s="1">
        <v>1</v>
      </c>
      <c r="D6" s="2">
        <v>45999</v>
      </c>
      <c r="E6" s="2">
        <v>46000</v>
      </c>
      <c r="F6" s="2"/>
      <c r="G6" s="27">
        <v>1</v>
      </c>
      <c r="H6" s="2" t="s">
        <v>84</v>
      </c>
      <c r="I6" s="2"/>
      <c r="J6" s="2" t="s">
        <v>66</v>
      </c>
      <c r="K6" s="6"/>
    </row>
    <row r="7" spans="1:11" ht="16.8" customHeight="1" x14ac:dyDescent="0.3">
      <c r="A7" s="5">
        <v>4</v>
      </c>
      <c r="B7" s="1" t="s">
        <v>144</v>
      </c>
      <c r="C7" s="1">
        <v>2</v>
      </c>
      <c r="D7" s="2">
        <v>46000</v>
      </c>
      <c r="E7" s="2">
        <v>46001</v>
      </c>
      <c r="F7" s="2">
        <v>46009</v>
      </c>
      <c r="G7" s="27">
        <v>0.99</v>
      </c>
      <c r="H7" s="2" t="s">
        <v>85</v>
      </c>
      <c r="I7" s="2"/>
      <c r="J7" s="2" t="s">
        <v>72</v>
      </c>
      <c r="K7" s="32" t="s">
        <v>219</v>
      </c>
    </row>
    <row r="8" spans="1:11" x14ac:dyDescent="0.3">
      <c r="A8" s="5">
        <v>5</v>
      </c>
      <c r="B8" s="1" t="s">
        <v>7</v>
      </c>
      <c r="C8" s="1">
        <v>1</v>
      </c>
      <c r="D8" s="2">
        <v>45996</v>
      </c>
      <c r="E8" s="2">
        <v>45996</v>
      </c>
      <c r="F8" s="2">
        <v>46000</v>
      </c>
      <c r="G8" s="27">
        <v>1</v>
      </c>
      <c r="H8" s="2" t="s">
        <v>84</v>
      </c>
      <c r="I8" s="2"/>
      <c r="J8" s="2" t="s">
        <v>78</v>
      </c>
      <c r="K8" s="6"/>
    </row>
    <row r="9" spans="1:11" x14ac:dyDescent="0.3">
      <c r="A9" s="5">
        <v>6</v>
      </c>
      <c r="B9" s="1" t="s">
        <v>8</v>
      </c>
      <c r="C9" s="1">
        <v>0</v>
      </c>
      <c r="D9" s="2">
        <v>45996</v>
      </c>
      <c r="E9" s="2">
        <v>45996</v>
      </c>
      <c r="F9" s="2">
        <v>45996</v>
      </c>
      <c r="G9" s="27">
        <v>1</v>
      </c>
      <c r="H9" s="2" t="s">
        <v>91</v>
      </c>
      <c r="I9" s="2"/>
      <c r="J9" s="2" t="s">
        <v>78</v>
      </c>
      <c r="K9" s="7" t="s">
        <v>57</v>
      </c>
    </row>
    <row r="10" spans="1:11" s="33" customFormat="1" ht="15" customHeight="1" x14ac:dyDescent="0.3">
      <c r="A10" s="28">
        <v>7</v>
      </c>
      <c r="B10" s="29" t="s">
        <v>10</v>
      </c>
      <c r="C10" s="29">
        <v>0.5</v>
      </c>
      <c r="D10" s="30">
        <v>46000</v>
      </c>
      <c r="E10" s="30">
        <v>46000</v>
      </c>
      <c r="F10" s="30">
        <v>46001</v>
      </c>
      <c r="G10" s="31">
        <v>1</v>
      </c>
      <c r="H10" s="30" t="s">
        <v>145</v>
      </c>
      <c r="I10" s="30"/>
      <c r="J10" s="29" t="s">
        <v>78</v>
      </c>
      <c r="K10" s="32" t="s">
        <v>143</v>
      </c>
    </row>
    <row r="11" spans="1:11" x14ac:dyDescent="0.3">
      <c r="A11" s="5">
        <v>8</v>
      </c>
      <c r="B11" s="1" t="s">
        <v>9</v>
      </c>
      <c r="C11" s="1">
        <v>1</v>
      </c>
      <c r="D11" s="2">
        <v>46001</v>
      </c>
      <c r="E11" s="2">
        <v>46003</v>
      </c>
      <c r="F11" s="2"/>
      <c r="G11" s="27">
        <v>1</v>
      </c>
      <c r="H11" s="2" t="s">
        <v>88</v>
      </c>
      <c r="I11" s="2" t="s">
        <v>94</v>
      </c>
      <c r="J11" s="2" t="s">
        <v>78</v>
      </c>
      <c r="K11" s="6" t="s">
        <v>53</v>
      </c>
    </row>
    <row r="12" spans="1:11" ht="15.45" customHeight="1" x14ac:dyDescent="0.3">
      <c r="A12" s="5">
        <v>9</v>
      </c>
      <c r="B12" s="1" t="s">
        <v>86</v>
      </c>
      <c r="C12" s="1">
        <v>1</v>
      </c>
      <c r="D12" s="2">
        <v>46002</v>
      </c>
      <c r="E12" s="2">
        <v>46002</v>
      </c>
      <c r="F12" s="2">
        <v>46016</v>
      </c>
      <c r="G12" s="27">
        <v>0.9</v>
      </c>
      <c r="H12" s="2" t="s">
        <v>90</v>
      </c>
      <c r="I12" s="18" t="s">
        <v>95</v>
      </c>
      <c r="J12" s="2" t="s">
        <v>72</v>
      </c>
      <c r="K12" s="32" t="s">
        <v>206</v>
      </c>
    </row>
    <row r="13" spans="1:11" ht="15" customHeight="1" x14ac:dyDescent="0.3">
      <c r="A13" s="5">
        <v>10</v>
      </c>
      <c r="B13" s="1" t="s">
        <v>13</v>
      </c>
      <c r="C13" s="1">
        <v>1</v>
      </c>
      <c r="D13" s="2">
        <v>46003</v>
      </c>
      <c r="E13" s="2">
        <v>46003</v>
      </c>
      <c r="F13" s="2"/>
      <c r="G13" s="27">
        <v>0.8</v>
      </c>
      <c r="H13" s="2" t="s">
        <v>89</v>
      </c>
      <c r="I13" s="18" t="s">
        <v>96</v>
      </c>
      <c r="J13" s="1" t="s">
        <v>72</v>
      </c>
      <c r="K13" s="32" t="s">
        <v>200</v>
      </c>
    </row>
    <row r="14" spans="1:11" x14ac:dyDescent="0.3">
      <c r="A14" s="5">
        <v>11</v>
      </c>
      <c r="B14" s="1" t="s">
        <v>87</v>
      </c>
      <c r="C14" s="1">
        <v>1</v>
      </c>
      <c r="D14" s="2">
        <v>46004</v>
      </c>
      <c r="E14" s="2">
        <v>46004</v>
      </c>
      <c r="F14" s="2"/>
      <c r="G14" s="27">
        <v>0.1</v>
      </c>
      <c r="H14" s="2" t="s">
        <v>90</v>
      </c>
      <c r="I14" s="18" t="s">
        <v>97</v>
      </c>
      <c r="J14" s="2" t="s">
        <v>76</v>
      </c>
      <c r="K14" s="6" t="s">
        <v>202</v>
      </c>
    </row>
    <row r="15" spans="1:11" x14ac:dyDescent="0.3">
      <c r="A15" s="5">
        <v>12</v>
      </c>
      <c r="B15" s="1" t="s">
        <v>12</v>
      </c>
      <c r="C15" s="1">
        <v>1</v>
      </c>
      <c r="D15" s="2">
        <v>45998</v>
      </c>
      <c r="E15" s="2">
        <v>46001</v>
      </c>
      <c r="F15" s="2">
        <v>46001</v>
      </c>
      <c r="G15" s="27">
        <v>1</v>
      </c>
      <c r="H15" s="2" t="s">
        <v>88</v>
      </c>
      <c r="I15" s="2"/>
      <c r="J15" s="1" t="s">
        <v>78</v>
      </c>
      <c r="K15" s="6"/>
    </row>
    <row r="16" spans="1:11" ht="12.6" customHeight="1" x14ac:dyDescent="0.3">
      <c r="A16" s="5">
        <v>13</v>
      </c>
      <c r="B16" s="1" t="s">
        <v>11</v>
      </c>
      <c r="C16" s="1">
        <v>2</v>
      </c>
      <c r="D16" s="2">
        <v>46002</v>
      </c>
      <c r="E16" s="2">
        <v>46006</v>
      </c>
      <c r="F16" s="2"/>
      <c r="G16" s="27">
        <v>1</v>
      </c>
      <c r="H16" s="2" t="s">
        <v>203</v>
      </c>
      <c r="I16" s="18" t="s">
        <v>99</v>
      </c>
      <c r="J16" s="1" t="s">
        <v>78</v>
      </c>
      <c r="K16" s="59" t="s">
        <v>217</v>
      </c>
    </row>
    <row r="17" spans="1:11" x14ac:dyDescent="0.3">
      <c r="A17" s="5">
        <v>14</v>
      </c>
      <c r="B17" s="1" t="s">
        <v>55</v>
      </c>
      <c r="C17" s="1">
        <v>1</v>
      </c>
      <c r="D17" s="2">
        <v>46006</v>
      </c>
      <c r="E17" s="2">
        <v>46006</v>
      </c>
      <c r="F17" s="2"/>
      <c r="G17" s="27">
        <v>0.4</v>
      </c>
      <c r="H17" s="2" t="s">
        <v>89</v>
      </c>
      <c r="I17" s="2"/>
      <c r="J17" s="1" t="s">
        <v>70</v>
      </c>
      <c r="K17" s="6" t="s">
        <v>204</v>
      </c>
    </row>
    <row r="18" spans="1:11" ht="16.5" customHeight="1" x14ac:dyDescent="0.3">
      <c r="A18" s="5">
        <v>15</v>
      </c>
      <c r="B18" s="1" t="s">
        <v>14</v>
      </c>
      <c r="C18" s="1">
        <v>3</v>
      </c>
      <c r="D18" s="2">
        <v>46007</v>
      </c>
      <c r="E18" s="2">
        <v>46009</v>
      </c>
      <c r="F18" s="2"/>
      <c r="G18" s="27">
        <v>0.2</v>
      </c>
      <c r="H18" s="2" t="s">
        <v>89</v>
      </c>
      <c r="I18" s="2"/>
      <c r="J18" s="1" t="s">
        <v>70</v>
      </c>
      <c r="K18" s="32" t="s">
        <v>205</v>
      </c>
    </row>
    <row r="19" spans="1:11" ht="15" customHeight="1" x14ac:dyDescent="0.3">
      <c r="A19" s="5">
        <v>16</v>
      </c>
      <c r="B19" s="1" t="s">
        <v>15</v>
      </c>
      <c r="C19" s="1">
        <v>1</v>
      </c>
      <c r="D19" s="2">
        <v>46010</v>
      </c>
      <c r="E19" s="2">
        <v>46010</v>
      </c>
      <c r="F19" s="2"/>
      <c r="G19" s="27">
        <v>1</v>
      </c>
      <c r="H19" s="2" t="s">
        <v>89</v>
      </c>
      <c r="I19" s="2"/>
      <c r="J19" s="1" t="s">
        <v>78</v>
      </c>
      <c r="K19" s="32" t="s">
        <v>218</v>
      </c>
    </row>
    <row r="20" spans="1:11" x14ac:dyDescent="0.3">
      <c r="A20" s="5">
        <v>17</v>
      </c>
      <c r="B20" s="1" t="s">
        <v>16</v>
      </c>
      <c r="C20" s="1">
        <v>1</v>
      </c>
      <c r="D20" s="2">
        <v>46011</v>
      </c>
      <c r="E20" s="2">
        <v>46011</v>
      </c>
      <c r="F20" s="2"/>
      <c r="G20" s="27">
        <v>0.2</v>
      </c>
      <c r="H20" s="2" t="s">
        <v>89</v>
      </c>
      <c r="I20" s="2"/>
      <c r="J20" s="1" t="s">
        <v>70</v>
      </c>
      <c r="K20" s="6" t="s">
        <v>199</v>
      </c>
    </row>
    <row r="21" spans="1:11" ht="14.55" customHeight="1" x14ac:dyDescent="0.3">
      <c r="A21" s="5">
        <v>18</v>
      </c>
      <c r="B21" s="1" t="s">
        <v>83</v>
      </c>
      <c r="C21" s="1">
        <v>3</v>
      </c>
      <c r="D21" s="2">
        <v>46012</v>
      </c>
      <c r="E21" s="2">
        <v>46014</v>
      </c>
      <c r="F21" s="2"/>
      <c r="G21" s="27">
        <v>0.3</v>
      </c>
      <c r="H21" s="2" t="s">
        <v>89</v>
      </c>
      <c r="I21" s="2"/>
      <c r="J21" s="1" t="s">
        <v>70</v>
      </c>
      <c r="K21" s="59" t="s">
        <v>201</v>
      </c>
    </row>
    <row r="22" spans="1:11" x14ac:dyDescent="0.3">
      <c r="A22" s="5">
        <v>19</v>
      </c>
      <c r="B22" s="1" t="s">
        <v>17</v>
      </c>
      <c r="C22" s="1">
        <v>0.5</v>
      </c>
      <c r="D22" s="2">
        <v>46017</v>
      </c>
      <c r="E22" s="2">
        <v>46017</v>
      </c>
      <c r="F22" s="2"/>
      <c r="G22" s="27">
        <v>0</v>
      </c>
      <c r="H22" s="2" t="s">
        <v>89</v>
      </c>
      <c r="I22" s="2"/>
      <c r="J22" s="1" t="s">
        <v>64</v>
      </c>
      <c r="K22" s="6"/>
    </row>
    <row r="23" spans="1:11" x14ac:dyDescent="0.3">
      <c r="A23" s="11"/>
      <c r="B23" s="12" t="s">
        <v>56</v>
      </c>
      <c r="C23" s="12">
        <f>SUM(C4:C22)</f>
        <v>23</v>
      </c>
      <c r="D23" s="12"/>
      <c r="E23" s="12"/>
      <c r="F23" s="12"/>
      <c r="G23" s="27">
        <f>AVERAGE(G4:G22)</f>
        <v>0.7310526315789474</v>
      </c>
      <c r="H23" s="12"/>
      <c r="I23" s="12"/>
      <c r="J23" s="12"/>
      <c r="K23" s="13"/>
    </row>
  </sheetData>
  <phoneticPr fontId="3" type="noConversion"/>
  <conditionalFormatting sqref="G4:G23 J1">
    <cfRule type="dataBar" priority="1">
      <dataBar>
        <cfvo type="min"/>
        <cfvo type="max"/>
        <color rgb="FF4CAF50"/>
      </dataBar>
      <extLst>
        <ext xmlns:x14="http://schemas.microsoft.com/office/spreadsheetml/2009/9/main" uri="{B025F937-C7B1-47D3-B67F-A62EFF666E3E}">
          <x14:id>{D5F223F2-AA69-495A-B53E-84B05124EA98}</x14:id>
        </ext>
      </extLst>
    </cfRule>
    <cfRule type="colorScale" priority="2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G23">
    <cfRule type="colorScale" priority="14">
      <colorScale>
        <cfvo type="percent" val="0"/>
        <cfvo type="percent" val="50"/>
        <cfvo type="percent" val="100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J4:J22" xr:uid="{2A4A38E8-2718-40ED-ABBD-E3609AFA4125}">
      <formula1>StatusList</formula1>
    </dataValidation>
  </dataValidations>
  <pageMargins left="0.7" right="0.7" top="0.75" bottom="0.75" header="0.3" footer="0.3"/>
  <headerFooter>
    <oddFooter>&amp;C_x000D_&amp;1#&amp;"Helvetica 75 Bold"&amp;8&amp;KED7D31 Orange Restricted</oddFooter>
  </headerFooter>
  <ignoredErrors>
    <ignoredError sqref="I12:I14 I16" numberStoredAsText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F223F2-AA69-495A-B53E-84B05124EA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G4:G23 J1</xm:sqref>
        </x14:conditionalFormatting>
        <x14:conditionalFormatting xmlns:xm="http://schemas.microsoft.com/office/excel/2006/main">
          <x14:cfRule type="cellIs" priority="22" operator="equal" id="{8EAD38E6-4213-4D09-80CE-3B328F568717}">
            <xm:f>Sheet3!$A$10</xm:f>
            <x14:dxf>
              <fill>
                <patternFill>
                  <bgColor rgb="FF8B0000"/>
                </patternFill>
              </fill>
            </x14:dxf>
          </x14:cfRule>
          <x14:cfRule type="cellIs" priority="23" operator="equal" id="{52CEDDAB-D7B1-4095-A6A0-7B347C17AAE0}">
            <xm:f>Sheet3!$A$9</xm:f>
            <x14:dxf>
              <fill>
                <patternFill>
                  <bgColor rgb="FF4CAF50"/>
                </patternFill>
              </fill>
            </x14:dxf>
          </x14:cfRule>
          <x14:cfRule type="cellIs" priority="24" operator="equal" id="{EB5F17EF-92D4-4DDF-9F86-1B5601C542DD}">
            <xm:f>Sheet3!$A$8</xm:f>
            <x14:dxf>
              <fill>
                <patternFill>
                  <bgColor rgb="FFFF0000"/>
                </patternFill>
              </fill>
            </x14:dxf>
          </x14:cfRule>
          <x14:cfRule type="cellIs" priority="25" operator="equal" id="{62BAA820-5A4D-48E7-8C46-4444D61A98CD}">
            <xm:f>Sheet3!$A$7</xm:f>
            <x14:dxf>
              <fill>
                <patternFill>
                  <bgColor rgb="FF009688"/>
                </patternFill>
              </fill>
            </x14:dxf>
          </x14:cfRule>
          <x14:cfRule type="cellIs" priority="26" operator="equal" id="{BAB9D69C-5E05-41FF-BBD5-F047A195498B}">
            <xm:f>Sheet3!$A$6</xm:f>
            <x14:dxf>
              <fill>
                <patternFill>
                  <bgColor rgb="FF9C27B0"/>
                </patternFill>
              </fill>
            </x14:dxf>
          </x14:cfRule>
          <x14:cfRule type="cellIs" priority="27" operator="equal" id="{37CDFC7E-AEDE-4DF8-9B35-7401A3F4A440}">
            <xm:f>Sheet3!$A$5</xm:f>
            <x14:dxf>
              <fill>
                <patternFill>
                  <bgColor rgb="FF2196F3"/>
                </patternFill>
              </fill>
            </x14:dxf>
          </x14:cfRule>
          <x14:cfRule type="cellIs" priority="28" operator="equal" id="{994B1A94-9C82-4A71-BF47-F3B7545DDA6F}">
            <xm:f>Sheet3!$A$4</xm:f>
            <x14:dxf>
              <fill>
                <patternFill>
                  <bgColor rgb="FFFFC107"/>
                </patternFill>
              </fill>
            </x14:dxf>
          </x14:cfRule>
          <x14:cfRule type="cellIs" priority="29" operator="equal" id="{74B785DF-1352-4963-85AF-509A560E76B2}">
            <xm:f>Sheet3!$A$3</xm:f>
            <x14:dxf>
              <fill>
                <patternFill>
                  <bgColor rgb="FFF4A460"/>
                </patternFill>
              </fill>
            </x14:dxf>
          </x14:cfRule>
          <x14:cfRule type="cellIs" priority="30" operator="equal" id="{763AB24D-9C66-4266-8FC2-FB1BBA3B540F}">
            <xm:f>Sheet3!$A$2</xm:f>
            <x14:dxf>
              <fill>
                <patternFill>
                  <bgColor rgb="FFBFBFBF"/>
                </patternFill>
              </fill>
            </x14:dxf>
          </x14:cfRule>
          <xm:sqref>J4:J22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1C34-6C35-4508-BD99-6BE68725DFED}">
  <dimension ref="A6:O22"/>
  <sheetViews>
    <sheetView zoomScaleNormal="100" workbookViewId="0">
      <selection activeCell="B3" sqref="B3"/>
    </sheetView>
  </sheetViews>
  <sheetFormatPr defaultRowHeight="14.4" x14ac:dyDescent="0.3"/>
  <cols>
    <col min="1" max="1" width="13" bestFit="1" customWidth="1"/>
    <col min="2" max="2" width="9.5546875" style="35" bestFit="1" customWidth="1"/>
    <col min="3" max="3" width="9.5546875" customWidth="1"/>
    <col min="4" max="4" width="10.109375" bestFit="1" customWidth="1"/>
    <col min="5" max="5" width="10.5546875" customWidth="1"/>
    <col min="6" max="6" width="12.77734375" customWidth="1"/>
    <col min="7" max="7" width="9.5546875" bestFit="1" customWidth="1"/>
    <col min="8" max="8" width="10.5546875" customWidth="1"/>
    <col min="9" max="9" width="9.5546875" bestFit="1" customWidth="1"/>
    <col min="10" max="10" width="10.5546875" customWidth="1"/>
    <col min="11" max="11" width="7.44140625" bestFit="1" customWidth="1"/>
    <col min="12" max="12" width="8.109375" bestFit="1" customWidth="1"/>
    <col min="13" max="13" width="10.5546875" customWidth="1"/>
    <col min="15" max="15" width="10.5546875" customWidth="1"/>
  </cols>
  <sheetData>
    <row r="6" spans="1:15" x14ac:dyDescent="0.3">
      <c r="A6" t="s">
        <v>126</v>
      </c>
      <c r="B6" s="35" t="s">
        <v>142</v>
      </c>
      <c r="C6" t="s">
        <v>127</v>
      </c>
      <c r="D6" t="s">
        <v>141</v>
      </c>
      <c r="E6" t="s">
        <v>136</v>
      </c>
      <c r="F6" t="s">
        <v>128</v>
      </c>
      <c r="G6" t="s">
        <v>131</v>
      </c>
      <c r="H6" t="s">
        <v>137</v>
      </c>
      <c r="I6" t="s">
        <v>132</v>
      </c>
      <c r="J6" t="s">
        <v>138</v>
      </c>
      <c r="K6" t="s">
        <v>133</v>
      </c>
      <c r="L6" t="s">
        <v>134</v>
      </c>
      <c r="M6" t="s">
        <v>139</v>
      </c>
      <c r="N6" t="s">
        <v>135</v>
      </c>
      <c r="O6" t="s">
        <v>140</v>
      </c>
    </row>
    <row r="7" spans="1:15" x14ac:dyDescent="0.3">
      <c r="A7" t="s">
        <v>112</v>
      </c>
      <c r="B7" s="35" t="s">
        <v>113</v>
      </c>
      <c r="D7" s="35" t="s">
        <v>113</v>
      </c>
      <c r="F7" t="s">
        <v>112</v>
      </c>
      <c r="G7" s="35" t="s">
        <v>113</v>
      </c>
      <c r="I7" s="35" t="s">
        <v>113</v>
      </c>
      <c r="K7" t="s">
        <v>112</v>
      </c>
      <c r="L7" s="35">
        <v>1.2</v>
      </c>
      <c r="N7" s="35">
        <v>1.2</v>
      </c>
    </row>
    <row r="8" spans="1:15" x14ac:dyDescent="0.3">
      <c r="B8" s="35">
        <v>5.2</v>
      </c>
      <c r="D8" s="35">
        <v>5.2</v>
      </c>
      <c r="G8" s="35">
        <v>5.2</v>
      </c>
      <c r="I8" s="35">
        <v>5.2</v>
      </c>
      <c r="L8" s="35">
        <v>3.2</v>
      </c>
      <c r="N8" s="35">
        <v>3.2</v>
      </c>
    </row>
    <row r="9" spans="1:15" x14ac:dyDescent="0.3">
      <c r="A9" t="s">
        <v>115</v>
      </c>
      <c r="B9" s="35" t="s">
        <v>114</v>
      </c>
      <c r="D9" s="35" t="s">
        <v>114</v>
      </c>
      <c r="F9" t="s">
        <v>115</v>
      </c>
      <c r="G9" s="35" t="s">
        <v>129</v>
      </c>
      <c r="I9" s="35" t="s">
        <v>129</v>
      </c>
      <c r="L9" s="35">
        <v>4.2</v>
      </c>
      <c r="N9" s="35">
        <v>4.2</v>
      </c>
    </row>
    <row r="10" spans="1:15" x14ac:dyDescent="0.3">
      <c r="B10" s="35">
        <v>5.0999999999999996</v>
      </c>
      <c r="D10" s="35">
        <v>5.0999999999999996</v>
      </c>
      <c r="E10" s="36"/>
      <c r="G10" s="35"/>
      <c r="I10" s="35"/>
      <c r="J10" s="36"/>
      <c r="L10" s="35">
        <v>6.2</v>
      </c>
      <c r="N10" s="35">
        <v>6.2</v>
      </c>
    </row>
    <row r="11" spans="1:15" x14ac:dyDescent="0.3">
      <c r="A11" t="s">
        <v>116</v>
      </c>
      <c r="B11" s="35" t="s">
        <v>121</v>
      </c>
      <c r="D11" s="35" t="s">
        <v>121</v>
      </c>
      <c r="F11" t="s">
        <v>116</v>
      </c>
      <c r="G11" s="35" t="s">
        <v>121</v>
      </c>
      <c r="I11" s="35" t="s">
        <v>121</v>
      </c>
    </row>
    <row r="12" spans="1:15" x14ac:dyDescent="0.3">
      <c r="B12" s="35">
        <v>5.2</v>
      </c>
      <c r="D12" s="35">
        <v>5.2</v>
      </c>
      <c r="G12" s="35">
        <v>5.2</v>
      </c>
      <c r="I12" s="35">
        <v>5.2</v>
      </c>
    </row>
    <row r="13" spans="1:15" x14ac:dyDescent="0.3">
      <c r="A13" t="s">
        <v>117</v>
      </c>
      <c r="B13" s="35">
        <v>2.2000000000000002</v>
      </c>
      <c r="D13" s="35">
        <v>2.2000000000000002</v>
      </c>
      <c r="F13" t="s">
        <v>117</v>
      </c>
      <c r="G13" s="35">
        <v>2.2000000000000002</v>
      </c>
      <c r="I13" s="35">
        <v>2.2000000000000002</v>
      </c>
    </row>
    <row r="14" spans="1:15" x14ac:dyDescent="0.3">
      <c r="B14" s="35" t="s">
        <v>122</v>
      </c>
      <c r="D14" s="35" t="s">
        <v>122</v>
      </c>
      <c r="G14" s="35" t="s">
        <v>122</v>
      </c>
      <c r="I14" s="35" t="s">
        <v>122</v>
      </c>
    </row>
    <row r="15" spans="1:15" x14ac:dyDescent="0.3">
      <c r="A15" t="s">
        <v>118</v>
      </c>
      <c r="B15" s="35">
        <v>2.1</v>
      </c>
      <c r="D15" s="35">
        <v>2.1</v>
      </c>
      <c r="F15" t="s">
        <v>118</v>
      </c>
      <c r="G15" s="35" t="s">
        <v>130</v>
      </c>
      <c r="I15" s="35" t="s">
        <v>130</v>
      </c>
    </row>
    <row r="16" spans="1:15" x14ac:dyDescent="0.3">
      <c r="B16" s="35" t="s">
        <v>123</v>
      </c>
      <c r="D16" s="35" t="s">
        <v>123</v>
      </c>
      <c r="G16" s="35"/>
      <c r="I16" s="35"/>
    </row>
    <row r="17" spans="1:11" x14ac:dyDescent="0.3">
      <c r="A17" t="s">
        <v>119</v>
      </c>
      <c r="B17" s="35">
        <v>2.2000000000000002</v>
      </c>
      <c r="D17" s="35">
        <v>2.2000000000000002</v>
      </c>
      <c r="F17" t="s">
        <v>119</v>
      </c>
      <c r="G17" s="35">
        <v>2.2000000000000002</v>
      </c>
      <c r="I17" s="35">
        <v>2.2000000000000002</v>
      </c>
    </row>
    <row r="18" spans="1:11" x14ac:dyDescent="0.3">
      <c r="B18" s="35" t="s">
        <v>122</v>
      </c>
      <c r="D18" s="35" t="s">
        <v>122</v>
      </c>
      <c r="G18" s="35" t="s">
        <v>122</v>
      </c>
      <c r="I18" s="35" t="s">
        <v>122</v>
      </c>
    </row>
    <row r="19" spans="1:11" x14ac:dyDescent="0.3">
      <c r="A19" t="s">
        <v>120</v>
      </c>
      <c r="B19" s="35" t="s">
        <v>124</v>
      </c>
      <c r="D19" s="35" t="s">
        <v>124</v>
      </c>
      <c r="F19" t="s">
        <v>120</v>
      </c>
      <c r="G19" s="35" t="s">
        <v>124</v>
      </c>
      <c r="I19" s="35" t="s">
        <v>124</v>
      </c>
    </row>
    <row r="20" spans="1:11" x14ac:dyDescent="0.3">
      <c r="B20" s="35" t="s">
        <v>125</v>
      </c>
      <c r="D20" s="35" t="s">
        <v>125</v>
      </c>
      <c r="G20" s="35" t="s">
        <v>125</v>
      </c>
      <c r="I20" s="35" t="s">
        <v>125</v>
      </c>
    </row>
    <row r="22" spans="1:11" x14ac:dyDescent="0.3">
      <c r="K22" s="37"/>
    </row>
  </sheetData>
  <pageMargins left="0.7" right="0.7" top="0.75" bottom="0.75" header="0.3" footer="0.3"/>
  <headerFooter>
    <oddFooter>&amp;C_x000D_&amp;1#&amp;"Helvetica 75 Bold"&amp;8&amp;KED7D31 Orange Restricted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3873-01AB-4DEC-9CB5-B9C925FAF227}">
  <dimension ref="A1:M30"/>
  <sheetViews>
    <sheetView topLeftCell="A16" workbookViewId="0">
      <selection activeCell="G16" sqref="G16"/>
    </sheetView>
  </sheetViews>
  <sheetFormatPr defaultRowHeight="14.4" x14ac:dyDescent="0.3"/>
  <cols>
    <col min="1" max="1" width="4.77734375" customWidth="1"/>
    <col min="2" max="2" width="52.5546875" bestFit="1" customWidth="1"/>
    <col min="3" max="3" width="29.21875" hidden="1" customWidth="1"/>
    <col min="4" max="4" width="8.33203125" customWidth="1"/>
    <col min="5" max="5" width="5.5546875" customWidth="1"/>
    <col min="6" max="6" width="11.21875" customWidth="1"/>
    <col min="7" max="7" width="10.21875" customWidth="1"/>
    <col min="8" max="8" width="9.5546875" style="48" customWidth="1"/>
    <col min="9" max="9" width="11.88671875" customWidth="1"/>
    <col min="10" max="10" width="10.33203125" style="48" customWidth="1"/>
    <col min="11" max="11" width="6.44140625" style="48" customWidth="1"/>
    <col min="12" max="12" width="10.77734375" customWidth="1"/>
    <col min="13" max="13" width="18" bestFit="1" customWidth="1"/>
  </cols>
  <sheetData>
    <row r="1" spans="1:13" x14ac:dyDescent="0.3">
      <c r="A1" s="52" t="s">
        <v>168</v>
      </c>
      <c r="B1" s="52"/>
      <c r="C1" s="52"/>
      <c r="D1" s="52"/>
      <c r="E1" s="52"/>
      <c r="F1" s="53" t="s">
        <v>167</v>
      </c>
      <c r="G1" s="53"/>
      <c r="H1" s="53"/>
      <c r="I1" s="58" t="s">
        <v>194</v>
      </c>
      <c r="J1" s="57"/>
      <c r="K1" s="60" t="s">
        <v>195</v>
      </c>
      <c r="L1" s="60"/>
      <c r="M1" s="54" t="s">
        <v>110</v>
      </c>
    </row>
    <row r="2" spans="1:13" s="23" customFormat="1" ht="30.6" customHeight="1" x14ac:dyDescent="0.3">
      <c r="A2" s="22" t="s">
        <v>3</v>
      </c>
      <c r="B2" s="22" t="s">
        <v>19</v>
      </c>
      <c r="C2" s="22" t="s">
        <v>20</v>
      </c>
      <c r="D2" s="22" t="s">
        <v>18</v>
      </c>
      <c r="E2" s="22" t="s">
        <v>109</v>
      </c>
      <c r="F2" s="22" t="s">
        <v>103</v>
      </c>
      <c r="G2" s="22" t="s">
        <v>104</v>
      </c>
      <c r="H2" s="42" t="s">
        <v>167</v>
      </c>
      <c r="I2" s="22" t="s">
        <v>193</v>
      </c>
      <c r="J2" s="42" t="s">
        <v>196</v>
      </c>
      <c r="K2" s="22" t="s">
        <v>197</v>
      </c>
      <c r="L2" s="22" t="s">
        <v>192</v>
      </c>
      <c r="M2" s="42" t="s">
        <v>189</v>
      </c>
    </row>
    <row r="3" spans="1:13" x14ac:dyDescent="0.3">
      <c r="A3" s="1">
        <v>1</v>
      </c>
      <c r="B3" s="1" t="s">
        <v>171</v>
      </c>
      <c r="C3" s="1" t="s">
        <v>41</v>
      </c>
      <c r="D3" s="1" t="s">
        <v>49</v>
      </c>
      <c r="E3" s="1">
        <v>2</v>
      </c>
      <c r="F3" s="25">
        <v>200</v>
      </c>
      <c r="G3" s="1">
        <v>200</v>
      </c>
      <c r="H3" s="43">
        <f t="shared" ref="H3:H16" si="0">E3*G3</f>
        <v>400</v>
      </c>
      <c r="I3" s="1">
        <v>200</v>
      </c>
      <c r="J3" s="43">
        <f t="shared" ref="J3:J16" si="1">I3*E3</f>
        <v>400</v>
      </c>
      <c r="K3" s="1">
        <v>0</v>
      </c>
      <c r="L3" s="43">
        <f t="shared" ref="L3:L16" si="2">E3*K3</f>
        <v>0</v>
      </c>
      <c r="M3" s="43">
        <f t="shared" ref="M3:M9" si="3">J3</f>
        <v>400</v>
      </c>
    </row>
    <row r="4" spans="1:13" x14ac:dyDescent="0.3">
      <c r="A4" s="1">
        <v>2</v>
      </c>
      <c r="B4" s="1" t="s">
        <v>170</v>
      </c>
      <c r="C4" s="1" t="s">
        <v>27</v>
      </c>
      <c r="D4" s="1" t="s">
        <v>49</v>
      </c>
      <c r="E4" s="1">
        <v>1</v>
      </c>
      <c r="F4" s="25" t="s">
        <v>28</v>
      </c>
      <c r="G4" s="1">
        <v>250</v>
      </c>
      <c r="H4" s="43">
        <f t="shared" si="0"/>
        <v>250</v>
      </c>
      <c r="I4" s="1">
        <v>325</v>
      </c>
      <c r="J4" s="43">
        <f t="shared" si="1"/>
        <v>325</v>
      </c>
      <c r="K4" s="1">
        <v>0</v>
      </c>
      <c r="L4" s="43">
        <f t="shared" si="2"/>
        <v>0</v>
      </c>
      <c r="M4" s="43">
        <f t="shared" si="3"/>
        <v>325</v>
      </c>
    </row>
    <row r="5" spans="1:13" x14ac:dyDescent="0.3">
      <c r="A5" s="1">
        <v>3</v>
      </c>
      <c r="B5" s="1" t="s">
        <v>50</v>
      </c>
      <c r="C5" s="1" t="s">
        <v>30</v>
      </c>
      <c r="D5" s="1" t="s">
        <v>49</v>
      </c>
      <c r="E5" s="1">
        <v>6</v>
      </c>
      <c r="F5" s="25" t="s">
        <v>105</v>
      </c>
      <c r="G5" s="1">
        <v>150</v>
      </c>
      <c r="H5" s="43">
        <f t="shared" si="0"/>
        <v>900</v>
      </c>
      <c r="I5" s="1">
        <f>540/6</f>
        <v>90</v>
      </c>
      <c r="J5" s="43">
        <f t="shared" si="1"/>
        <v>540</v>
      </c>
      <c r="K5" s="1">
        <v>0</v>
      </c>
      <c r="L5" s="43">
        <f t="shared" si="2"/>
        <v>0</v>
      </c>
      <c r="M5" s="43">
        <f t="shared" si="3"/>
        <v>540</v>
      </c>
    </row>
    <row r="6" spans="1:13" x14ac:dyDescent="0.3">
      <c r="A6" s="1">
        <v>4</v>
      </c>
      <c r="B6" s="1" t="s">
        <v>173</v>
      </c>
      <c r="C6" s="1" t="s">
        <v>44</v>
      </c>
      <c r="D6" s="1" t="s">
        <v>49</v>
      </c>
      <c r="E6" s="1">
        <v>1</v>
      </c>
      <c r="F6" s="25" t="s">
        <v>45</v>
      </c>
      <c r="G6" s="1">
        <v>100</v>
      </c>
      <c r="H6" s="43">
        <f t="shared" si="0"/>
        <v>100</v>
      </c>
      <c r="I6" s="1">
        <v>90</v>
      </c>
      <c r="J6" s="43">
        <f t="shared" si="1"/>
        <v>90</v>
      </c>
      <c r="K6" s="1">
        <v>0</v>
      </c>
      <c r="L6" s="43">
        <f t="shared" si="2"/>
        <v>0</v>
      </c>
      <c r="M6" s="43">
        <f t="shared" si="3"/>
        <v>90</v>
      </c>
    </row>
    <row r="7" spans="1:13" x14ac:dyDescent="0.3">
      <c r="A7" s="1">
        <v>5</v>
      </c>
      <c r="B7" s="1" t="s">
        <v>172</v>
      </c>
      <c r="C7" s="1" t="s">
        <v>42</v>
      </c>
      <c r="D7" s="1" t="s">
        <v>49</v>
      </c>
      <c r="E7" s="1">
        <v>1</v>
      </c>
      <c r="F7" s="26" t="s">
        <v>43</v>
      </c>
      <c r="G7" s="21">
        <v>20</v>
      </c>
      <c r="H7" s="43">
        <f t="shared" si="0"/>
        <v>20</v>
      </c>
      <c r="I7" s="1">
        <v>20</v>
      </c>
      <c r="J7" s="43">
        <f t="shared" si="1"/>
        <v>20</v>
      </c>
      <c r="K7" s="1">
        <v>0</v>
      </c>
      <c r="L7" s="43">
        <f t="shared" si="2"/>
        <v>0</v>
      </c>
      <c r="M7" s="43">
        <f t="shared" si="3"/>
        <v>20</v>
      </c>
    </row>
    <row r="8" spans="1:13" x14ac:dyDescent="0.3">
      <c r="A8" s="1">
        <v>6</v>
      </c>
      <c r="B8" s="1" t="s">
        <v>174</v>
      </c>
      <c r="C8" s="1" t="s">
        <v>174</v>
      </c>
      <c r="D8" s="1" t="s">
        <v>49</v>
      </c>
      <c r="E8" s="1">
        <v>1</v>
      </c>
      <c r="F8" s="25" t="s">
        <v>175</v>
      </c>
      <c r="G8" s="1">
        <v>30</v>
      </c>
      <c r="H8" s="43">
        <f t="shared" si="0"/>
        <v>30</v>
      </c>
      <c r="I8" s="1">
        <v>25</v>
      </c>
      <c r="J8" s="43">
        <f t="shared" si="1"/>
        <v>25</v>
      </c>
      <c r="K8" s="1">
        <v>0</v>
      </c>
      <c r="L8" s="43">
        <f t="shared" si="2"/>
        <v>0</v>
      </c>
      <c r="M8" s="43">
        <f t="shared" si="3"/>
        <v>25</v>
      </c>
    </row>
    <row r="9" spans="1:13" x14ac:dyDescent="0.3">
      <c r="A9" s="1">
        <v>7</v>
      </c>
      <c r="B9" s="1" t="s">
        <v>178</v>
      </c>
      <c r="C9" s="1" t="s">
        <v>179</v>
      </c>
      <c r="D9" s="1" t="s">
        <v>49</v>
      </c>
      <c r="E9" s="1">
        <v>1</v>
      </c>
      <c r="F9" s="25" t="s">
        <v>23</v>
      </c>
      <c r="G9" s="1">
        <f>355/2</f>
        <v>177.5</v>
      </c>
      <c r="H9" s="43">
        <f t="shared" si="0"/>
        <v>177.5</v>
      </c>
      <c r="I9" s="1">
        <v>177</v>
      </c>
      <c r="J9" s="43">
        <f t="shared" si="1"/>
        <v>177</v>
      </c>
      <c r="K9" s="1">
        <v>0</v>
      </c>
      <c r="L9" s="43">
        <f t="shared" si="2"/>
        <v>0</v>
      </c>
      <c r="M9" s="49">
        <f t="shared" si="3"/>
        <v>177</v>
      </c>
    </row>
    <row r="10" spans="1:13" x14ac:dyDescent="0.3">
      <c r="A10" s="1">
        <v>8</v>
      </c>
      <c r="B10" s="12" t="s">
        <v>50</v>
      </c>
      <c r="C10" s="12" t="s">
        <v>51</v>
      </c>
      <c r="D10" s="12" t="s">
        <v>52</v>
      </c>
      <c r="E10" s="12">
        <v>6</v>
      </c>
      <c r="F10" s="41" t="s">
        <v>105</v>
      </c>
      <c r="G10" s="12">
        <v>150</v>
      </c>
      <c r="H10" s="44">
        <f t="shared" si="0"/>
        <v>900</v>
      </c>
      <c r="I10" s="12">
        <v>0</v>
      </c>
      <c r="J10" s="47">
        <f t="shared" si="1"/>
        <v>0</v>
      </c>
      <c r="K10" s="12">
        <v>90</v>
      </c>
      <c r="L10" s="47">
        <f t="shared" si="2"/>
        <v>540</v>
      </c>
      <c r="M10" s="50">
        <f>L10</f>
        <v>540</v>
      </c>
    </row>
    <row r="11" spans="1:13" x14ac:dyDescent="0.3">
      <c r="A11" s="1">
        <v>9</v>
      </c>
      <c r="B11" s="1" t="s">
        <v>176</v>
      </c>
      <c r="C11" s="1" t="s">
        <v>177</v>
      </c>
      <c r="D11" s="1" t="s">
        <v>52</v>
      </c>
      <c r="E11" s="1">
        <v>1</v>
      </c>
      <c r="F11" s="25" t="s">
        <v>180</v>
      </c>
      <c r="G11" s="1">
        <v>100</v>
      </c>
      <c r="H11" s="45">
        <f t="shared" si="0"/>
        <v>100</v>
      </c>
      <c r="I11" s="1">
        <v>0</v>
      </c>
      <c r="J11" s="43">
        <f t="shared" si="1"/>
        <v>0</v>
      </c>
      <c r="K11" s="1">
        <v>80</v>
      </c>
      <c r="L11" s="43">
        <f t="shared" si="2"/>
        <v>80</v>
      </c>
      <c r="M11" s="50">
        <f t="shared" ref="M11:M16" si="4">L11</f>
        <v>80</v>
      </c>
    </row>
    <row r="12" spans="1:13" x14ac:dyDescent="0.3">
      <c r="A12" s="1">
        <v>10</v>
      </c>
      <c r="B12" s="12" t="s">
        <v>102</v>
      </c>
      <c r="C12" s="12" t="s">
        <v>98</v>
      </c>
      <c r="D12" s="12" t="s">
        <v>52</v>
      </c>
      <c r="E12" s="12">
        <v>1</v>
      </c>
      <c r="F12" s="41" t="s">
        <v>107</v>
      </c>
      <c r="G12" s="12">
        <v>1139</v>
      </c>
      <c r="H12" s="44">
        <f t="shared" si="0"/>
        <v>1139</v>
      </c>
      <c r="I12" s="12">
        <v>0</v>
      </c>
      <c r="J12" s="47">
        <f t="shared" si="1"/>
        <v>0</v>
      </c>
      <c r="K12" s="12">
        <v>1139</v>
      </c>
      <c r="L12" s="47">
        <f t="shared" si="2"/>
        <v>1139</v>
      </c>
      <c r="M12" s="50">
        <f t="shared" si="4"/>
        <v>1139</v>
      </c>
    </row>
    <row r="13" spans="1:13" x14ac:dyDescent="0.3">
      <c r="A13" s="1">
        <v>11</v>
      </c>
      <c r="B13" s="12" t="s">
        <v>181</v>
      </c>
      <c r="C13" s="12" t="s">
        <v>181</v>
      </c>
      <c r="D13" s="1" t="s">
        <v>52</v>
      </c>
      <c r="E13" s="12">
        <v>1</v>
      </c>
      <c r="F13" s="41" t="s">
        <v>175</v>
      </c>
      <c r="G13" s="12">
        <v>30</v>
      </c>
      <c r="H13" s="44">
        <f t="shared" si="0"/>
        <v>30</v>
      </c>
      <c r="I13" s="12">
        <v>0</v>
      </c>
      <c r="J13" s="47">
        <f t="shared" si="1"/>
        <v>0</v>
      </c>
      <c r="K13" s="12">
        <v>30</v>
      </c>
      <c r="L13" s="47">
        <f t="shared" si="2"/>
        <v>30</v>
      </c>
      <c r="M13" s="50">
        <f t="shared" si="4"/>
        <v>30</v>
      </c>
    </row>
    <row r="14" spans="1:13" x14ac:dyDescent="0.3">
      <c r="A14" s="1">
        <v>12</v>
      </c>
      <c r="B14" s="12" t="s">
        <v>182</v>
      </c>
      <c r="C14" s="12" t="s">
        <v>186</v>
      </c>
      <c r="D14" s="1" t="s">
        <v>52</v>
      </c>
      <c r="E14" s="12">
        <v>2</v>
      </c>
      <c r="F14" s="41" t="s">
        <v>23</v>
      </c>
      <c r="G14" s="12">
        <v>200</v>
      </c>
      <c r="H14" s="44">
        <f t="shared" si="0"/>
        <v>400</v>
      </c>
      <c r="I14" s="12">
        <v>0</v>
      </c>
      <c r="J14" s="47">
        <f t="shared" si="1"/>
        <v>0</v>
      </c>
      <c r="K14" s="12">
        <v>100</v>
      </c>
      <c r="L14" s="47">
        <f t="shared" si="2"/>
        <v>200</v>
      </c>
      <c r="M14" s="50">
        <f t="shared" si="4"/>
        <v>200</v>
      </c>
    </row>
    <row r="15" spans="1:13" x14ac:dyDescent="0.3">
      <c r="A15" s="1">
        <v>13</v>
      </c>
      <c r="B15" s="12" t="s">
        <v>174</v>
      </c>
      <c r="C15" s="12" t="s">
        <v>187</v>
      </c>
      <c r="D15" s="1" t="s">
        <v>52</v>
      </c>
      <c r="E15" s="12">
        <v>2</v>
      </c>
      <c r="F15" s="41" t="s">
        <v>198</v>
      </c>
      <c r="G15" s="12">
        <v>20</v>
      </c>
      <c r="H15" s="44">
        <f t="shared" si="0"/>
        <v>40</v>
      </c>
      <c r="I15" s="12">
        <v>18</v>
      </c>
      <c r="J15" s="47">
        <f t="shared" si="1"/>
        <v>36</v>
      </c>
      <c r="K15" s="12">
        <v>0</v>
      </c>
      <c r="L15" s="47">
        <f t="shared" si="2"/>
        <v>0</v>
      </c>
      <c r="M15" s="50">
        <f t="shared" si="4"/>
        <v>0</v>
      </c>
    </row>
    <row r="16" spans="1:13" x14ac:dyDescent="0.3">
      <c r="A16" s="1">
        <v>14</v>
      </c>
      <c r="B16" s="12" t="s">
        <v>183</v>
      </c>
      <c r="C16" s="12" t="s">
        <v>184</v>
      </c>
      <c r="D16" s="12" t="s">
        <v>52</v>
      </c>
      <c r="E16" s="12">
        <v>1</v>
      </c>
      <c r="F16" s="41" t="s">
        <v>185</v>
      </c>
      <c r="G16" s="12">
        <v>300</v>
      </c>
      <c r="H16" s="45">
        <f t="shared" si="0"/>
        <v>300</v>
      </c>
      <c r="I16" s="12">
        <v>0</v>
      </c>
      <c r="J16" s="47">
        <f t="shared" si="1"/>
        <v>0</v>
      </c>
      <c r="K16" s="12">
        <v>100</v>
      </c>
      <c r="L16" s="47">
        <f t="shared" si="2"/>
        <v>100</v>
      </c>
      <c r="M16" s="50">
        <f t="shared" si="4"/>
        <v>100</v>
      </c>
    </row>
    <row r="17" spans="1:13" x14ac:dyDescent="0.3">
      <c r="A17" s="20"/>
      <c r="B17" s="20" t="s">
        <v>56</v>
      </c>
      <c r="C17" s="20"/>
      <c r="D17" s="20"/>
      <c r="E17" s="20"/>
      <c r="F17" s="20"/>
      <c r="G17" s="20"/>
      <c r="H17" s="46">
        <f>SUBTOTAL(109,CompList[Estimated Cost])</f>
        <v>4786.5</v>
      </c>
      <c r="I17" s="20"/>
      <c r="J17" s="46">
        <f>SUBTOTAL(109,CompList[Purchased])</f>
        <v>1613</v>
      </c>
      <c r="K17" s="20"/>
      <c r="L17" s="46">
        <f>SUBTOTAL(109,CompList[College provided])</f>
        <v>2089</v>
      </c>
      <c r="M17" s="46">
        <f>SUBTOTAL(109,CompList[Actual Cost (with 18% GST)])</f>
        <v>3666</v>
      </c>
    </row>
    <row r="19" spans="1:13" x14ac:dyDescent="0.3">
      <c r="A19" s="52" t="s">
        <v>169</v>
      </c>
      <c r="B19" s="52"/>
      <c r="C19" s="52"/>
      <c r="D19" s="52"/>
      <c r="E19" s="53" t="s">
        <v>167</v>
      </c>
      <c r="F19" s="53"/>
      <c r="G19" s="53"/>
      <c r="H19" s="53"/>
      <c r="I19" s="54" t="s">
        <v>110</v>
      </c>
      <c r="J19" s="54"/>
      <c r="K19" s="55"/>
      <c r="L19" s="56" t="s">
        <v>192</v>
      </c>
      <c r="M19" s="54" t="s">
        <v>110</v>
      </c>
    </row>
    <row r="20" spans="1:13" ht="86.4" x14ac:dyDescent="0.3">
      <c r="A20" s="40" t="s">
        <v>3</v>
      </c>
      <c r="B20" s="24" t="s">
        <v>19</v>
      </c>
      <c r="C20" s="24" t="s">
        <v>20</v>
      </c>
      <c r="D20" s="24" t="s">
        <v>18</v>
      </c>
      <c r="E20" s="24" t="s">
        <v>109</v>
      </c>
      <c r="F20" s="24" t="s">
        <v>103</v>
      </c>
      <c r="G20" s="24" t="s">
        <v>104</v>
      </c>
      <c r="H20" s="42" t="s">
        <v>188</v>
      </c>
      <c r="I20" s="24" t="s">
        <v>100</v>
      </c>
      <c r="J20" s="42" t="s">
        <v>108</v>
      </c>
      <c r="K20" s="22" t="s">
        <v>190</v>
      </c>
      <c r="L20" s="22" t="s">
        <v>191</v>
      </c>
      <c r="M20" s="51" t="s">
        <v>101</v>
      </c>
    </row>
    <row r="21" spans="1:13" x14ac:dyDescent="0.3">
      <c r="A21" s="5">
        <v>1</v>
      </c>
      <c r="B21" s="19" t="s">
        <v>46</v>
      </c>
      <c r="C21" s="1" t="s">
        <v>47</v>
      </c>
      <c r="D21" s="1" t="s">
        <v>49</v>
      </c>
      <c r="E21" s="1">
        <v>1</v>
      </c>
      <c r="F21" s="25" t="s">
        <v>48</v>
      </c>
      <c r="G21" s="1">
        <v>150</v>
      </c>
      <c r="H21" s="43">
        <f t="shared" ref="H21:H26" si="5">E21*G21</f>
        <v>150</v>
      </c>
      <c r="I21" s="1">
        <v>400</v>
      </c>
      <c r="J21" s="43"/>
      <c r="K21" s="49"/>
      <c r="L21" s="49"/>
      <c r="M21" s="49">
        <f t="shared" ref="M21:M29" si="6">J21</f>
        <v>0</v>
      </c>
    </row>
    <row r="22" spans="1:13" x14ac:dyDescent="0.3">
      <c r="A22" s="1">
        <v>1</v>
      </c>
      <c r="B22" s="1" t="s">
        <v>21</v>
      </c>
      <c r="C22" s="1" t="s">
        <v>22</v>
      </c>
      <c r="D22" s="1" t="s">
        <v>49</v>
      </c>
      <c r="E22" s="1">
        <v>1</v>
      </c>
      <c r="F22" s="25" t="s">
        <v>23</v>
      </c>
      <c r="G22" s="1">
        <v>200</v>
      </c>
      <c r="H22" s="43">
        <f>E22*G22</f>
        <v>200</v>
      </c>
      <c r="I22" s="1">
        <f>195</f>
        <v>195</v>
      </c>
      <c r="J22" s="43">
        <f t="shared" ref="J22" si="7">I22*E22</f>
        <v>195</v>
      </c>
      <c r="K22" s="43"/>
      <c r="L22" s="43"/>
      <c r="M22" s="43">
        <f t="shared" si="6"/>
        <v>195</v>
      </c>
    </row>
    <row r="23" spans="1:13" x14ac:dyDescent="0.3">
      <c r="A23" s="5">
        <v>2</v>
      </c>
      <c r="B23" s="1" t="s">
        <v>106</v>
      </c>
      <c r="C23" s="1"/>
      <c r="D23" s="1"/>
      <c r="E23" s="1">
        <v>1</v>
      </c>
      <c r="F23" s="25" t="s">
        <v>23</v>
      </c>
      <c r="G23" s="1">
        <v>200</v>
      </c>
      <c r="H23" s="43">
        <f t="shared" si="5"/>
        <v>200</v>
      </c>
      <c r="I23" s="1">
        <v>150</v>
      </c>
      <c r="J23" s="43"/>
      <c r="K23" s="49"/>
      <c r="L23" s="49"/>
      <c r="M23" s="49">
        <f t="shared" si="6"/>
        <v>0</v>
      </c>
    </row>
    <row r="24" spans="1:13" x14ac:dyDescent="0.3">
      <c r="A24" s="5">
        <v>3</v>
      </c>
      <c r="B24" s="1" t="s">
        <v>24</v>
      </c>
      <c r="C24" s="1" t="s">
        <v>25</v>
      </c>
      <c r="D24" s="1" t="s">
        <v>49</v>
      </c>
      <c r="E24" s="1">
        <v>1</v>
      </c>
      <c r="F24" s="25" t="s">
        <v>26</v>
      </c>
      <c r="G24" s="1">
        <v>450</v>
      </c>
      <c r="H24" s="43">
        <f t="shared" si="5"/>
        <v>450</v>
      </c>
      <c r="I24" s="1">
        <v>240</v>
      </c>
      <c r="J24" s="43">
        <f t="shared" ref="J24" si="8">I24*E24</f>
        <v>240</v>
      </c>
      <c r="K24" s="49"/>
      <c r="L24" s="49"/>
      <c r="M24" s="49">
        <f t="shared" si="6"/>
        <v>240</v>
      </c>
    </row>
    <row r="25" spans="1:13" x14ac:dyDescent="0.3">
      <c r="A25" s="5">
        <v>4</v>
      </c>
      <c r="B25" s="1" t="s">
        <v>35</v>
      </c>
      <c r="C25" s="1" t="s">
        <v>36</v>
      </c>
      <c r="D25" s="1" t="s">
        <v>49</v>
      </c>
      <c r="E25" s="1">
        <v>1</v>
      </c>
      <c r="F25" s="25" t="s">
        <v>37</v>
      </c>
      <c r="G25" s="1">
        <v>900</v>
      </c>
      <c r="H25" s="43">
        <f t="shared" si="5"/>
        <v>900</v>
      </c>
      <c r="I25" s="1">
        <v>650</v>
      </c>
      <c r="J25" s="43"/>
      <c r="K25" s="49"/>
      <c r="L25" s="49"/>
      <c r="M25" s="49">
        <f t="shared" si="6"/>
        <v>0</v>
      </c>
    </row>
    <row r="26" spans="1:13" x14ac:dyDescent="0.3">
      <c r="A26" s="5">
        <v>5</v>
      </c>
      <c r="B26" s="1" t="s">
        <v>29</v>
      </c>
      <c r="C26" s="1" t="s">
        <v>30</v>
      </c>
      <c r="D26" s="1" t="s">
        <v>49</v>
      </c>
      <c r="E26" s="1">
        <v>1</v>
      </c>
      <c r="F26" s="25" t="s">
        <v>31</v>
      </c>
      <c r="G26" s="1">
        <v>200</v>
      </c>
      <c r="H26" s="43">
        <f t="shared" si="5"/>
        <v>200</v>
      </c>
      <c r="I26" s="1">
        <v>195</v>
      </c>
      <c r="J26" s="43">
        <f t="shared" ref="J26" si="9">I26*E26</f>
        <v>195</v>
      </c>
      <c r="K26" s="49"/>
      <c r="L26" s="49"/>
      <c r="M26" s="49">
        <f t="shared" si="6"/>
        <v>195</v>
      </c>
    </row>
    <row r="27" spans="1:13" x14ac:dyDescent="0.3">
      <c r="A27" s="5">
        <v>6</v>
      </c>
      <c r="B27" s="1" t="s">
        <v>38</v>
      </c>
      <c r="C27" s="1" t="s">
        <v>39</v>
      </c>
      <c r="D27" s="1" t="s">
        <v>49</v>
      </c>
      <c r="E27" s="1">
        <v>1</v>
      </c>
      <c r="F27" s="25" t="s">
        <v>40</v>
      </c>
      <c r="G27" s="1">
        <v>800</v>
      </c>
      <c r="H27" s="43">
        <f>E27*G27</f>
        <v>800</v>
      </c>
      <c r="I27" s="1">
        <v>450</v>
      </c>
      <c r="J27" s="43"/>
      <c r="K27" s="49"/>
      <c r="L27" s="49"/>
      <c r="M27" s="49">
        <f t="shared" si="6"/>
        <v>0</v>
      </c>
    </row>
    <row r="28" spans="1:13" x14ac:dyDescent="0.3">
      <c r="A28" s="5">
        <v>7</v>
      </c>
      <c r="B28" s="1" t="s">
        <v>32</v>
      </c>
      <c r="C28" s="1" t="s">
        <v>33</v>
      </c>
      <c r="D28" s="1" t="s">
        <v>49</v>
      </c>
      <c r="E28" s="1">
        <v>1</v>
      </c>
      <c r="F28" s="25" t="s">
        <v>34</v>
      </c>
      <c r="G28" s="1">
        <v>55</v>
      </c>
      <c r="H28" s="43">
        <f>E28*G28</f>
        <v>55</v>
      </c>
      <c r="I28" s="1">
        <v>55</v>
      </c>
      <c r="J28" s="43">
        <f>I28*E28</f>
        <v>55</v>
      </c>
      <c r="K28" s="49"/>
      <c r="L28" s="49"/>
      <c r="M28" s="49">
        <f t="shared" si="6"/>
        <v>55</v>
      </c>
    </row>
    <row r="29" spans="1:13" x14ac:dyDescent="0.3">
      <c r="A29" s="11">
        <v>8</v>
      </c>
      <c r="B29" s="12" t="s">
        <v>102</v>
      </c>
      <c r="C29" s="12" t="s">
        <v>98</v>
      </c>
      <c r="D29" s="12" t="s">
        <v>49</v>
      </c>
      <c r="E29" s="12">
        <v>1</v>
      </c>
      <c r="F29" s="41" t="s">
        <v>107</v>
      </c>
      <c r="G29" s="12">
        <v>1139</v>
      </c>
      <c r="H29" s="47">
        <f t="shared" ref="H29" si="10">E29*G29</f>
        <v>1139</v>
      </c>
      <c r="I29" s="12">
        <v>1139</v>
      </c>
      <c r="J29" s="47">
        <f t="shared" ref="J29" si="11">I29*E29</f>
        <v>1139</v>
      </c>
      <c r="K29" s="50"/>
      <c r="L29" s="50"/>
      <c r="M29" s="50">
        <f t="shared" si="6"/>
        <v>1139</v>
      </c>
    </row>
    <row r="30" spans="1:13" x14ac:dyDescent="0.3">
      <c r="A30" s="20"/>
      <c r="B30" s="20" t="s">
        <v>56</v>
      </c>
      <c r="C30" s="20"/>
      <c r="D30" s="20"/>
      <c r="E30" s="20"/>
      <c r="F30" s="20"/>
      <c r="G30" s="20"/>
      <c r="H30" s="46">
        <f>SUBTOTAL(109,FutureComp[Estimated Total Cost])</f>
        <v>4094</v>
      </c>
      <c r="I30" s="20"/>
      <c r="J30" s="46">
        <f>SUBTOTAL(109,FutureComp[Visha World Total Cost])</f>
        <v>1824</v>
      </c>
      <c r="K30" s="46"/>
      <c r="L30" s="46">
        <f>SUBTOTAL(109,FutureComp[College provided Components])</f>
        <v>0</v>
      </c>
      <c r="M30" s="46">
        <f>SUBTOTAL(109,FutureComp[General Cost])</f>
        <v>1824</v>
      </c>
    </row>
  </sheetData>
  <mergeCells count="1">
    <mergeCell ref="K1:L1"/>
  </mergeCells>
  <phoneticPr fontId="3" type="noConversion"/>
  <pageMargins left="0.7" right="0.7" top="0.75" bottom="0.75" header="0.3" footer="0.3"/>
  <headerFooter>
    <oddFooter>&amp;C_x000D_&amp;1#&amp;"Helvetica 75 Bold"&amp;8&amp;KED7D31 Orange Restricted</oddFooter>
  </headerFooter>
  <ignoredErrors>
    <ignoredError sqref="M10 M11:M16" calculatedColumn="1"/>
  </ignoredErrors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7CB8-1AC1-48F1-9EBA-CD37C8ECDDA7}">
  <dimension ref="A1:D7"/>
  <sheetViews>
    <sheetView workbookViewId="0">
      <selection activeCell="G18" sqref="G18"/>
    </sheetView>
  </sheetViews>
  <sheetFormatPr defaultRowHeight="14.4" x14ac:dyDescent="0.3"/>
  <cols>
    <col min="1" max="1" width="56" bestFit="1" customWidth="1"/>
  </cols>
  <sheetData>
    <row r="1" spans="1:4" x14ac:dyDescent="0.3">
      <c r="A1" t="s">
        <v>146</v>
      </c>
      <c r="B1">
        <v>80</v>
      </c>
      <c r="C1">
        <v>1</v>
      </c>
      <c r="D1">
        <f>B1*C1</f>
        <v>80</v>
      </c>
    </row>
    <row r="2" spans="1:4" x14ac:dyDescent="0.3">
      <c r="A2" t="s">
        <v>147</v>
      </c>
      <c r="B2">
        <v>23</v>
      </c>
      <c r="C2">
        <v>1</v>
      </c>
      <c r="D2">
        <f t="shared" ref="D2:D6" si="0">B2*C2</f>
        <v>23</v>
      </c>
    </row>
    <row r="3" spans="1:4" x14ac:dyDescent="0.3">
      <c r="A3" t="s">
        <v>148</v>
      </c>
      <c r="B3">
        <v>20</v>
      </c>
      <c r="C3">
        <v>1</v>
      </c>
      <c r="D3">
        <f t="shared" si="0"/>
        <v>20</v>
      </c>
    </row>
    <row r="4" spans="1:4" x14ac:dyDescent="0.3">
      <c r="A4" t="s">
        <v>149</v>
      </c>
      <c r="B4">
        <v>200</v>
      </c>
      <c r="C4">
        <v>2</v>
      </c>
      <c r="D4">
        <f t="shared" si="0"/>
        <v>400</v>
      </c>
    </row>
    <row r="5" spans="1:4" x14ac:dyDescent="0.3">
      <c r="A5" t="s">
        <v>150</v>
      </c>
      <c r="B5">
        <v>90</v>
      </c>
      <c r="C5">
        <v>6</v>
      </c>
      <c r="D5">
        <f t="shared" si="0"/>
        <v>540</v>
      </c>
    </row>
    <row r="6" spans="1:4" x14ac:dyDescent="0.3">
      <c r="A6" t="s">
        <v>151</v>
      </c>
      <c r="B6">
        <v>350</v>
      </c>
      <c r="C6">
        <v>1</v>
      </c>
      <c r="D6">
        <f t="shared" si="0"/>
        <v>350</v>
      </c>
    </row>
    <row r="7" spans="1:4" x14ac:dyDescent="0.3">
      <c r="D7">
        <f>SUM(D1:D6)</f>
        <v>1413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3F21-D421-4DA1-A64A-143E7D1CA2FA}">
  <dimension ref="A1:D13"/>
  <sheetViews>
    <sheetView workbookViewId="0">
      <selection activeCell="C2" sqref="C2"/>
    </sheetView>
  </sheetViews>
  <sheetFormatPr defaultRowHeight="14.4" x14ac:dyDescent="0.3"/>
  <cols>
    <col min="2" max="2" width="85.33203125" bestFit="1" customWidth="1"/>
  </cols>
  <sheetData>
    <row r="1" spans="1:4" x14ac:dyDescent="0.3">
      <c r="A1" t="s">
        <v>153</v>
      </c>
      <c r="B1" t="s">
        <v>154</v>
      </c>
      <c r="C1" t="s">
        <v>58</v>
      </c>
      <c r="D1" t="s">
        <v>54</v>
      </c>
    </row>
    <row r="2" spans="1:4" x14ac:dyDescent="0.3">
      <c r="A2">
        <v>1</v>
      </c>
      <c r="B2" t="s">
        <v>155</v>
      </c>
      <c r="C2" t="s">
        <v>208</v>
      </c>
    </row>
    <row r="3" spans="1:4" x14ac:dyDescent="0.3">
      <c r="A3">
        <v>2</v>
      </c>
      <c r="B3" t="s">
        <v>160</v>
      </c>
      <c r="C3" t="s">
        <v>208</v>
      </c>
    </row>
    <row r="4" spans="1:4" x14ac:dyDescent="0.3">
      <c r="A4">
        <v>3</v>
      </c>
      <c r="B4" t="s">
        <v>152</v>
      </c>
      <c r="C4" t="s">
        <v>163</v>
      </c>
    </row>
    <row r="5" spans="1:4" x14ac:dyDescent="0.3">
      <c r="A5">
        <v>4</v>
      </c>
      <c r="B5" t="s">
        <v>161</v>
      </c>
      <c r="C5" t="s">
        <v>209</v>
      </c>
      <c r="D5" t="s">
        <v>210</v>
      </c>
    </row>
    <row r="6" spans="1:4" x14ac:dyDescent="0.3">
      <c r="A6">
        <v>5</v>
      </c>
      <c r="B6" t="s">
        <v>157</v>
      </c>
      <c r="C6" t="s">
        <v>208</v>
      </c>
    </row>
    <row r="7" spans="1:4" x14ac:dyDescent="0.3">
      <c r="A7">
        <v>6</v>
      </c>
      <c r="B7" t="s">
        <v>156</v>
      </c>
      <c r="C7" t="s">
        <v>208</v>
      </c>
    </row>
    <row r="8" spans="1:4" x14ac:dyDescent="0.3">
      <c r="A8">
        <v>7</v>
      </c>
      <c r="B8" t="s">
        <v>211</v>
      </c>
      <c r="C8" t="s">
        <v>208</v>
      </c>
    </row>
    <row r="9" spans="1:4" x14ac:dyDescent="0.3">
      <c r="A9">
        <v>8</v>
      </c>
      <c r="B9" t="s">
        <v>212</v>
      </c>
      <c r="C9" t="s">
        <v>209</v>
      </c>
    </row>
    <row r="10" spans="1:4" x14ac:dyDescent="0.3">
      <c r="A10">
        <v>9</v>
      </c>
      <c r="B10" t="s">
        <v>213</v>
      </c>
      <c r="C10" t="s">
        <v>209</v>
      </c>
      <c r="D10" t="s">
        <v>214</v>
      </c>
    </row>
    <row r="11" spans="1:4" x14ac:dyDescent="0.3">
      <c r="A11">
        <v>10</v>
      </c>
      <c r="B11" t="s">
        <v>158</v>
      </c>
      <c r="C11" t="s">
        <v>208</v>
      </c>
      <c r="D11" t="s">
        <v>215</v>
      </c>
    </row>
    <row r="12" spans="1:4" x14ac:dyDescent="0.3">
      <c r="A12">
        <v>11</v>
      </c>
      <c r="B12" t="s">
        <v>159</v>
      </c>
      <c r="C12" t="s">
        <v>208</v>
      </c>
      <c r="D12" t="s">
        <v>216</v>
      </c>
    </row>
    <row r="13" spans="1:4" x14ac:dyDescent="0.3">
      <c r="A13">
        <v>12</v>
      </c>
      <c r="B13" t="s">
        <v>207</v>
      </c>
    </row>
  </sheetData>
  <pageMargins left="0.7" right="0.7" top="0.75" bottom="0.75" header="0.3" footer="0.3"/>
  <headerFooter>
    <oddFooter>&amp;C_x000D_&amp;1#&amp;"Helvetica 75 Bold"&amp;8&amp;KED7D31 Orange Restricted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8DA7-D415-449B-A043-CB94FB53FF49}">
  <dimension ref="A1:B10"/>
  <sheetViews>
    <sheetView workbookViewId="0">
      <selection sqref="A1:B10"/>
    </sheetView>
  </sheetViews>
  <sheetFormatPr defaultRowHeight="14.4" x14ac:dyDescent="0.3"/>
  <cols>
    <col min="1" max="1" width="19.33203125" bestFit="1" customWidth="1"/>
  </cols>
  <sheetData>
    <row r="1" spans="1:2" x14ac:dyDescent="0.3">
      <c r="A1" s="3" t="s">
        <v>58</v>
      </c>
      <c r="B1" s="3" t="s">
        <v>82</v>
      </c>
    </row>
    <row r="2" spans="1:2" x14ac:dyDescent="0.3">
      <c r="A2" s="4" t="s">
        <v>64</v>
      </c>
      <c r="B2" s="4" t="s">
        <v>65</v>
      </c>
    </row>
    <row r="3" spans="1:2" x14ac:dyDescent="0.3">
      <c r="A3" s="4" t="s">
        <v>66</v>
      </c>
      <c r="B3" s="4" t="s">
        <v>67</v>
      </c>
    </row>
    <row r="4" spans="1:2" x14ac:dyDescent="0.3">
      <c r="A4" s="4" t="s">
        <v>68</v>
      </c>
      <c r="B4" s="4" t="s">
        <v>69</v>
      </c>
    </row>
    <row r="5" spans="1:2" x14ac:dyDescent="0.3">
      <c r="A5" s="4" t="s">
        <v>70</v>
      </c>
      <c r="B5" s="4" t="s">
        <v>71</v>
      </c>
    </row>
    <row r="6" spans="1:2" x14ac:dyDescent="0.3">
      <c r="A6" s="4" t="s">
        <v>72</v>
      </c>
      <c r="B6" s="4" t="s">
        <v>73</v>
      </c>
    </row>
    <row r="7" spans="1:2" x14ac:dyDescent="0.3">
      <c r="A7" s="4" t="s">
        <v>74</v>
      </c>
      <c r="B7" s="4" t="s">
        <v>75</v>
      </c>
    </row>
    <row r="8" spans="1:2" x14ac:dyDescent="0.3">
      <c r="A8" s="4" t="s">
        <v>76</v>
      </c>
      <c r="B8" s="4" t="s">
        <v>77</v>
      </c>
    </row>
    <row r="9" spans="1:2" x14ac:dyDescent="0.3">
      <c r="A9" s="4" t="s">
        <v>78</v>
      </c>
      <c r="B9" s="4" t="s">
        <v>79</v>
      </c>
    </row>
    <row r="10" spans="1:2" x14ac:dyDescent="0.3">
      <c r="A10" s="4" t="s">
        <v>80</v>
      </c>
      <c r="B10" s="4" t="s">
        <v>81</v>
      </c>
    </row>
  </sheetData>
  <pageMargins left="0.7" right="0.7" top="0.75" bottom="0.75" header="0.3" footer="0.3"/>
  <headerFooter>
    <oddFooter>&amp;C_x000D_&amp;1#&amp;"Helvetica 75 Bold"&amp;8&amp;KED7D31 Orange Restricted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Status</vt:lpstr>
      <vt:lpstr>Sheet1</vt:lpstr>
      <vt:lpstr>Project Timeline</vt:lpstr>
      <vt:lpstr>LegMovement Logic</vt:lpstr>
      <vt:lpstr>ComponentCost-Estimated-Actual</vt:lpstr>
      <vt:lpstr>Final Components List</vt:lpstr>
      <vt:lpstr>Trials &amp; Errors</vt:lpstr>
      <vt:lpstr>Sheet3</vt:lpstr>
      <vt:lpstr>StatusList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Srivastava</dc:creator>
  <cp:lastModifiedBy>Varun Srivastava</cp:lastModifiedBy>
  <dcterms:created xsi:type="dcterms:W3CDTF">2025-12-08T13:40:49Z</dcterms:created>
  <dcterms:modified xsi:type="dcterms:W3CDTF">2026-04-29T19:15:33Z</dcterms:modified>
</cp:coreProperties>
</file>